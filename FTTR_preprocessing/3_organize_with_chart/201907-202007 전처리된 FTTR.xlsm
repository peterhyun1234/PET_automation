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Nuclear Medicine\FTTR 정리 완료\FTTR 50개씩 전처리\"/>
    </mc:Choice>
  </mc:AlternateContent>
  <bookViews>
    <workbookView xWindow="-105" yWindow="-105" windowWidth="19425" windowHeight="10425" activeTab="3"/>
  </bookViews>
  <sheets>
    <sheet name="Infi" sheetId="11" r:id="rId1"/>
    <sheet name="NMCT670" sheetId="2" r:id="rId2"/>
    <sheet name="SYM" sheetId="9" r:id="rId3"/>
    <sheet name="NM830" sheetId="10" r:id="rId4"/>
    <sheet name="Comparing" sheetId="4" r:id="rId5"/>
    <sheet name="By Age" sheetId="8" r:id="rId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2" i="10" l="1"/>
  <c r="P32" i="10"/>
  <c r="N32" i="10"/>
  <c r="M32" i="10"/>
  <c r="J32" i="10"/>
  <c r="I32" i="10"/>
  <c r="Q31" i="10"/>
  <c r="Q31" i="10" a="1"/>
  <c r="P31" i="10"/>
  <c r="N31" i="10" a="1"/>
  <c r="N31" i="10" s="1"/>
  <c r="M31" i="10"/>
  <c r="J31" i="10" a="1"/>
  <c r="J31" i="10" s="1"/>
  <c r="I31" i="10"/>
  <c r="E31" i="10"/>
  <c r="Q30" i="10"/>
  <c r="Q30" i="10" a="1"/>
  <c r="P30" i="10"/>
  <c r="N30" i="10" a="1"/>
  <c r="N30" i="10" s="1"/>
  <c r="M30" i="10"/>
  <c r="J30" i="10"/>
  <c r="J30" i="10" a="1"/>
  <c r="I30" i="10"/>
  <c r="E30" i="10"/>
  <c r="Q29" i="10" a="1"/>
  <c r="Q29" i="10" s="1"/>
  <c r="P29" i="10"/>
  <c r="N29" i="10"/>
  <c r="N29" i="10" a="1"/>
  <c r="M29" i="10"/>
  <c r="J29" i="10"/>
  <c r="J29" i="10" a="1"/>
  <c r="I29" i="10"/>
  <c r="E29" i="10"/>
  <c r="Q28" i="10" a="1"/>
  <c r="Q28" i="10" s="1"/>
  <c r="P28" i="10"/>
  <c r="N28" i="10" a="1"/>
  <c r="N28" i="10" s="1"/>
  <c r="M28" i="10"/>
  <c r="J28" i="10" a="1"/>
  <c r="J28" i="10" s="1"/>
  <c r="I28" i="10"/>
  <c r="E28" i="10"/>
  <c r="Q27" i="10"/>
  <c r="Q27" i="10" a="1"/>
  <c r="P27" i="10"/>
  <c r="N27" i="10" a="1"/>
  <c r="N27" i="10" s="1"/>
  <c r="M27" i="10"/>
  <c r="J27" i="10" a="1"/>
  <c r="J27" i="10" s="1"/>
  <c r="I27" i="10"/>
  <c r="E27" i="10"/>
  <c r="Q26" i="10"/>
  <c r="Q26" i="10" a="1"/>
  <c r="P26" i="10"/>
  <c r="N26" i="10" a="1"/>
  <c r="N26" i="10" s="1"/>
  <c r="M26" i="10"/>
  <c r="J26" i="10"/>
  <c r="J26" i="10" a="1"/>
  <c r="I26" i="10"/>
  <c r="E26" i="10"/>
  <c r="Q25" i="10" a="1"/>
  <c r="Q25" i="10" s="1"/>
  <c r="P25" i="10"/>
  <c r="N25" i="10"/>
  <c r="N25" i="10" a="1"/>
  <c r="M25" i="10"/>
  <c r="J25" i="10"/>
  <c r="J25" i="10" a="1"/>
  <c r="I25" i="10"/>
  <c r="E25" i="10"/>
  <c r="Q24" i="10" a="1"/>
  <c r="Q24" i="10" s="1"/>
  <c r="P24" i="10"/>
  <c r="N24" i="10" a="1"/>
  <c r="N24" i="10" s="1"/>
  <c r="M24" i="10"/>
  <c r="J24" i="10" a="1"/>
  <c r="J24" i="10" s="1"/>
  <c r="I24" i="10"/>
  <c r="E24" i="10"/>
  <c r="E32" i="10" s="1"/>
  <c r="U15" i="10"/>
  <c r="P15" i="10"/>
  <c r="N15" i="10"/>
  <c r="M15" i="10"/>
  <c r="J15" i="10"/>
  <c r="I15" i="10"/>
  <c r="U13" i="10"/>
  <c r="P13" i="10"/>
  <c r="N13" i="10"/>
  <c r="M13" i="10"/>
  <c r="J13" i="10"/>
  <c r="I13" i="10"/>
  <c r="U11" i="10"/>
  <c r="V2179" i="10" s="1"/>
  <c r="P11" i="10"/>
  <c r="N11" i="10"/>
  <c r="O11" i="10" s="1"/>
  <c r="M11" i="10"/>
  <c r="L11" i="10" s="1"/>
  <c r="J11" i="10"/>
  <c r="I11" i="10"/>
  <c r="C10" i="10"/>
  <c r="K11" i="10" s="1"/>
  <c r="U9" i="10"/>
  <c r="P9" i="10"/>
  <c r="N9" i="10"/>
  <c r="M9" i="10"/>
  <c r="J9" i="10"/>
  <c r="I9" i="10"/>
  <c r="C8" i="10"/>
  <c r="U7" i="10"/>
  <c r="P7" i="10"/>
  <c r="N7" i="10"/>
  <c r="M7" i="10"/>
  <c r="J7" i="10"/>
  <c r="I7" i="10"/>
  <c r="C6" i="10"/>
  <c r="U5" i="10"/>
  <c r="P5" i="10"/>
  <c r="N5" i="10"/>
  <c r="M5" i="10"/>
  <c r="J5" i="10"/>
  <c r="I5" i="10"/>
  <c r="V2179" i="9"/>
  <c r="Q32" i="9"/>
  <c r="P32" i="9"/>
  <c r="N32" i="9"/>
  <c r="M32" i="9"/>
  <c r="J32" i="9"/>
  <c r="I32" i="9"/>
  <c r="Q31" i="9"/>
  <c r="Q31" i="9" a="1"/>
  <c r="P31" i="9"/>
  <c r="N31" i="9" a="1"/>
  <c r="N31" i="9" s="1"/>
  <c r="M31" i="9"/>
  <c r="J31" i="9" a="1"/>
  <c r="J31" i="9" s="1"/>
  <c r="I31" i="9"/>
  <c r="E31" i="9"/>
  <c r="Q30" i="9" a="1"/>
  <c r="Q30" i="9" s="1"/>
  <c r="P30" i="9"/>
  <c r="N30" i="9" a="1"/>
  <c r="N30" i="9" s="1"/>
  <c r="M30" i="9"/>
  <c r="J30" i="9"/>
  <c r="J30" i="9" a="1"/>
  <c r="I30" i="9"/>
  <c r="E30" i="9"/>
  <c r="Q29" i="9" a="1"/>
  <c r="Q29" i="9" s="1"/>
  <c r="P29" i="9"/>
  <c r="N29" i="9" a="1"/>
  <c r="N29" i="9" s="1"/>
  <c r="M29" i="9"/>
  <c r="J29" i="9" a="1"/>
  <c r="J29" i="9" s="1"/>
  <c r="I29" i="9"/>
  <c r="E29" i="9"/>
  <c r="Q28" i="9" a="1"/>
  <c r="Q28" i="9" s="1"/>
  <c r="P28" i="9"/>
  <c r="N28" i="9"/>
  <c r="N28" i="9" a="1"/>
  <c r="M28" i="9"/>
  <c r="J28" i="9" a="1"/>
  <c r="J28" i="9" s="1"/>
  <c r="I28" i="9"/>
  <c r="E28" i="9"/>
  <c r="Q27" i="9"/>
  <c r="Q27" i="9" a="1"/>
  <c r="P27" i="9"/>
  <c r="N27" i="9" a="1"/>
  <c r="N27" i="9" s="1"/>
  <c r="M27" i="9"/>
  <c r="J27" i="9" a="1"/>
  <c r="J27" i="9" s="1"/>
  <c r="I27" i="9"/>
  <c r="E27" i="9"/>
  <c r="Q26" i="9" a="1"/>
  <c r="Q26" i="9" s="1"/>
  <c r="P26" i="9"/>
  <c r="N26" i="9" a="1"/>
  <c r="N26" i="9" s="1"/>
  <c r="M26" i="9"/>
  <c r="J26" i="9"/>
  <c r="J26" i="9" a="1"/>
  <c r="I26" i="9"/>
  <c r="E26" i="9"/>
  <c r="Q25" i="9" a="1"/>
  <c r="Q25" i="9" s="1"/>
  <c r="P25" i="9"/>
  <c r="N25" i="9" a="1"/>
  <c r="N25" i="9" s="1"/>
  <c r="M25" i="9"/>
  <c r="J25" i="9" a="1"/>
  <c r="J25" i="9" s="1"/>
  <c r="I25" i="9"/>
  <c r="E25" i="9"/>
  <c r="Q24" i="9" a="1"/>
  <c r="Q24" i="9" s="1"/>
  <c r="P24" i="9"/>
  <c r="N24" i="9"/>
  <c r="N24" i="9" a="1"/>
  <c r="M24" i="9"/>
  <c r="J24" i="9" a="1"/>
  <c r="J24" i="9" s="1"/>
  <c r="I24" i="9"/>
  <c r="E24" i="9"/>
  <c r="E32" i="9" s="1"/>
  <c r="U15" i="9"/>
  <c r="P15" i="9"/>
  <c r="N15" i="9"/>
  <c r="M15" i="9"/>
  <c r="J15" i="9"/>
  <c r="I15" i="9"/>
  <c r="U13" i="9"/>
  <c r="P13" i="9"/>
  <c r="N13" i="9"/>
  <c r="M13" i="9"/>
  <c r="J13" i="9"/>
  <c r="I13" i="9"/>
  <c r="U11" i="9"/>
  <c r="P11" i="9"/>
  <c r="N11" i="9"/>
  <c r="O11" i="9" s="1"/>
  <c r="M11" i="9"/>
  <c r="L11" i="9" s="1"/>
  <c r="J11" i="9"/>
  <c r="K11" i="9" s="1"/>
  <c r="I11" i="9"/>
  <c r="C10" i="9"/>
  <c r="H11" i="9" s="1"/>
  <c r="U9" i="9"/>
  <c r="P9" i="9"/>
  <c r="N9" i="9"/>
  <c r="M9" i="9"/>
  <c r="J9" i="9"/>
  <c r="I9" i="9"/>
  <c r="C8" i="9"/>
  <c r="U7" i="9"/>
  <c r="P7" i="9"/>
  <c r="N7" i="9"/>
  <c r="M7" i="9"/>
  <c r="J7" i="9"/>
  <c r="I7" i="9"/>
  <c r="C6" i="9"/>
  <c r="U5" i="9"/>
  <c r="P5" i="9"/>
  <c r="N5" i="9"/>
  <c r="M5" i="9"/>
  <c r="J5" i="9"/>
  <c r="I5" i="9"/>
  <c r="V2179" i="11"/>
  <c r="Q32" i="11"/>
  <c r="P32" i="11"/>
  <c r="N32" i="11"/>
  <c r="M32" i="11"/>
  <c r="J32" i="11"/>
  <c r="I32" i="11"/>
  <c r="Q31" i="11"/>
  <c r="Q31" i="11" a="1"/>
  <c r="P31" i="11"/>
  <c r="N31" i="11" a="1"/>
  <c r="N31" i="11" s="1"/>
  <c r="M31" i="11"/>
  <c r="J31" i="11" a="1"/>
  <c r="J31" i="11" s="1"/>
  <c r="I31" i="11"/>
  <c r="E31" i="11"/>
  <c r="Q30" i="11" a="1"/>
  <c r="Q30" i="11" s="1"/>
  <c r="P30" i="11"/>
  <c r="N30" i="11" a="1"/>
  <c r="N30" i="11" s="1"/>
  <c r="M30" i="11"/>
  <c r="J30" i="11"/>
  <c r="J30" i="11" a="1"/>
  <c r="I30" i="11"/>
  <c r="E30" i="11"/>
  <c r="Q29" i="11" a="1"/>
  <c r="Q29" i="11" s="1"/>
  <c r="P29" i="11"/>
  <c r="N29" i="11" a="1"/>
  <c r="N29" i="11" s="1"/>
  <c r="M29" i="11"/>
  <c r="J29" i="11" a="1"/>
  <c r="J29" i="11" s="1"/>
  <c r="I29" i="11"/>
  <c r="E29" i="11"/>
  <c r="Q28" i="11" a="1"/>
  <c r="Q28" i="11" s="1"/>
  <c r="P28" i="11"/>
  <c r="N28" i="11" a="1"/>
  <c r="N28" i="11" s="1"/>
  <c r="M28" i="11"/>
  <c r="J28" i="11" a="1"/>
  <c r="J28" i="11" s="1"/>
  <c r="I28" i="11"/>
  <c r="E28" i="11"/>
  <c r="Q27" i="11"/>
  <c r="Q27" i="11" a="1"/>
  <c r="P27" i="11"/>
  <c r="N27" i="11" a="1"/>
  <c r="N27" i="11" s="1"/>
  <c r="M27" i="11"/>
  <c r="J27" i="11" a="1"/>
  <c r="J27" i="11" s="1"/>
  <c r="I27" i="11"/>
  <c r="E27" i="11"/>
  <c r="Q26" i="11" a="1"/>
  <c r="Q26" i="11" s="1"/>
  <c r="P26" i="11"/>
  <c r="N26" i="11" a="1"/>
  <c r="N26" i="11" s="1"/>
  <c r="M26" i="11"/>
  <c r="J26" i="11"/>
  <c r="J26" i="11" a="1"/>
  <c r="I26" i="11"/>
  <c r="E26" i="11"/>
  <c r="Q25" i="11" a="1"/>
  <c r="Q25" i="11" s="1"/>
  <c r="P25" i="11"/>
  <c r="N25" i="11" a="1"/>
  <c r="N25" i="11" s="1"/>
  <c r="M25" i="11"/>
  <c r="J25" i="11" a="1"/>
  <c r="J25" i="11" s="1"/>
  <c r="I25" i="11"/>
  <c r="E25" i="11"/>
  <c r="Q24" i="11" a="1"/>
  <c r="Q24" i="11" s="1"/>
  <c r="P24" i="11"/>
  <c r="N24" i="11" a="1"/>
  <c r="N24" i="11" s="1"/>
  <c r="M24" i="11"/>
  <c r="J24" i="11" a="1"/>
  <c r="J24" i="11" s="1"/>
  <c r="I24" i="11"/>
  <c r="E24" i="11"/>
  <c r="E32" i="11" s="1"/>
  <c r="U15" i="11"/>
  <c r="P15" i="11"/>
  <c r="N15" i="11"/>
  <c r="M15" i="11"/>
  <c r="J15" i="11"/>
  <c r="I15" i="11"/>
  <c r="U13" i="11"/>
  <c r="P13" i="11"/>
  <c r="N13" i="11"/>
  <c r="M13" i="11"/>
  <c r="J13" i="11"/>
  <c r="I13" i="11"/>
  <c r="U11" i="11"/>
  <c r="P11" i="11"/>
  <c r="N11" i="11"/>
  <c r="O11" i="11" s="1"/>
  <c r="M11" i="11"/>
  <c r="L11" i="11" s="1"/>
  <c r="J11" i="11"/>
  <c r="K11" i="11" s="1"/>
  <c r="I11" i="11"/>
  <c r="C10" i="11"/>
  <c r="H11" i="11" s="1"/>
  <c r="U9" i="11"/>
  <c r="P9" i="11"/>
  <c r="N9" i="11"/>
  <c r="M9" i="11"/>
  <c r="J9" i="11"/>
  <c r="I9" i="11"/>
  <c r="C8" i="11"/>
  <c r="U7" i="11"/>
  <c r="P7" i="11"/>
  <c r="N7" i="11"/>
  <c r="M7" i="11"/>
  <c r="J7" i="11"/>
  <c r="I7" i="11"/>
  <c r="C6" i="11"/>
  <c r="U5" i="11"/>
  <c r="P5" i="11"/>
  <c r="N5" i="11"/>
  <c r="M5" i="11"/>
  <c r="J5" i="11"/>
  <c r="I5" i="11"/>
  <c r="H11" i="10" l="1"/>
  <c r="M41" i="4"/>
  <c r="M54" i="4"/>
  <c r="M13" i="4"/>
  <c r="N11" i="2" l="1"/>
  <c r="B9" i="8" l="1"/>
  <c r="B60" i="8" s="1"/>
  <c r="B51" i="8"/>
  <c r="B50" i="8"/>
  <c r="B49" i="8"/>
  <c r="B48" i="8"/>
  <c r="B47" i="8"/>
  <c r="B46" i="8"/>
  <c r="B45" i="8"/>
  <c r="B44" i="8"/>
  <c r="B43" i="8"/>
  <c r="I42" i="8"/>
  <c r="J57" i="8" s="1"/>
  <c r="H42" i="8"/>
  <c r="I57" i="8" s="1"/>
  <c r="G42" i="8"/>
  <c r="F42" i="8"/>
  <c r="E42" i="8"/>
  <c r="D42" i="8"/>
  <c r="C42" i="8"/>
  <c r="B42" i="8"/>
  <c r="B39" i="8"/>
  <c r="B38" i="8"/>
  <c r="B37" i="8"/>
  <c r="B36" i="8"/>
  <c r="B35" i="8"/>
  <c r="B34" i="8"/>
  <c r="B33" i="8"/>
  <c r="B32" i="8"/>
  <c r="B31" i="8"/>
  <c r="I30" i="8"/>
  <c r="H57" i="8" s="1"/>
  <c r="H30" i="8"/>
  <c r="G57" i="8" s="1"/>
  <c r="G30" i="8"/>
  <c r="F30" i="8"/>
  <c r="E30" i="8"/>
  <c r="D30" i="8"/>
  <c r="C30" i="8"/>
  <c r="B30" i="8"/>
  <c r="B27" i="8"/>
  <c r="B26" i="8"/>
  <c r="B25" i="8"/>
  <c r="B24" i="8"/>
  <c r="B23" i="8"/>
  <c r="B22" i="8"/>
  <c r="B21" i="8"/>
  <c r="B20" i="8"/>
  <c r="B19" i="8"/>
  <c r="I18" i="8"/>
  <c r="F57" i="8" s="1"/>
  <c r="H18" i="8"/>
  <c r="E57" i="8" s="1"/>
  <c r="G18" i="8"/>
  <c r="F18" i="8"/>
  <c r="E18" i="8"/>
  <c r="D18" i="8"/>
  <c r="C18" i="8"/>
  <c r="B18" i="8"/>
  <c r="B15" i="8"/>
  <c r="B14" i="8"/>
  <c r="B65" i="8" s="1"/>
  <c r="B13" i="8"/>
  <c r="B64" i="8" s="1"/>
  <c r="B12" i="8"/>
  <c r="B63" i="8" s="1"/>
  <c r="B11" i="8"/>
  <c r="B62" i="8" s="1"/>
  <c r="B10" i="8"/>
  <c r="B61" i="8" s="1"/>
  <c r="B8" i="8"/>
  <c r="B59" i="8" s="1"/>
  <c r="B7" i="8"/>
  <c r="B58" i="8" s="1"/>
  <c r="I6" i="8"/>
  <c r="D57" i="8" s="1"/>
  <c r="H6" i="8"/>
  <c r="C57" i="8" s="1"/>
  <c r="G6" i="8"/>
  <c r="F6" i="8"/>
  <c r="E6" i="8"/>
  <c r="D6" i="8"/>
  <c r="C6" i="8"/>
  <c r="B6" i="8"/>
  <c r="F51" i="8"/>
  <c r="C49" i="8"/>
  <c r="C48" i="8"/>
  <c r="C47" i="8"/>
  <c r="C46" i="8"/>
  <c r="C45" i="8"/>
  <c r="C44" i="8"/>
  <c r="F39" i="8"/>
  <c r="C38" i="8"/>
  <c r="C37" i="8"/>
  <c r="C36" i="8"/>
  <c r="C35" i="8"/>
  <c r="C34" i="8"/>
  <c r="C33" i="8"/>
  <c r="C32" i="8"/>
  <c r="M32" i="2"/>
  <c r="F27" i="8" s="1"/>
  <c r="E31" i="2"/>
  <c r="C26" i="8" s="1"/>
  <c r="E30" i="2"/>
  <c r="C25" i="8" s="1"/>
  <c r="E29" i="2"/>
  <c r="C24" i="8" s="1"/>
  <c r="E28" i="2"/>
  <c r="C23" i="8" s="1"/>
  <c r="E27" i="2"/>
  <c r="C22" i="8" s="1"/>
  <c r="E26" i="2"/>
  <c r="C21" i="8" s="1"/>
  <c r="E25" i="2"/>
  <c r="C20" i="8" s="1"/>
  <c r="E24" i="2"/>
  <c r="J11" i="2"/>
  <c r="F15" i="8"/>
  <c r="C14" i="8"/>
  <c r="C13" i="8"/>
  <c r="C12" i="8"/>
  <c r="C11" i="8"/>
  <c r="C10" i="8"/>
  <c r="C9" i="8"/>
  <c r="C8" i="8"/>
  <c r="C7" i="8"/>
  <c r="C39" i="8" l="1"/>
  <c r="C31" i="8"/>
  <c r="C51" i="8"/>
  <c r="C43" i="8"/>
  <c r="C50" i="8"/>
  <c r="E32" i="2"/>
  <c r="C27" i="8" s="1"/>
  <c r="C19" i="8"/>
  <c r="C8" i="2" l="1"/>
  <c r="C6" i="2"/>
  <c r="N15" i="2"/>
  <c r="J15" i="2"/>
  <c r="N13" i="2"/>
  <c r="J13" i="2"/>
  <c r="N9" i="2"/>
  <c r="J9" i="2"/>
  <c r="N7" i="2"/>
  <c r="J7" i="2"/>
  <c r="N5" i="2"/>
  <c r="J5" i="2"/>
  <c r="J13" i="4" l="1"/>
  <c r="J41" i="4"/>
  <c r="E27" i="4"/>
  <c r="C10" i="2"/>
  <c r="F50" i="8"/>
  <c r="D50" i="8"/>
  <c r="F13" i="4" l="1"/>
  <c r="F41" i="4"/>
  <c r="D43" i="8"/>
  <c r="F44" i="8"/>
  <c r="F43" i="8"/>
  <c r="D44" i="8"/>
  <c r="F49" i="8"/>
  <c r="F47" i="8"/>
  <c r="F45" i="8"/>
  <c r="D48" i="8"/>
  <c r="D49" i="8"/>
  <c r="D47" i="8"/>
  <c r="D45" i="8"/>
  <c r="J54" i="4"/>
  <c r="F54" i="4"/>
  <c r="K11" i="2"/>
  <c r="F27" i="4" s="1"/>
  <c r="F48" i="8"/>
  <c r="H50" i="8"/>
  <c r="I65" i="8" s="1"/>
  <c r="H43" i="8" l="1"/>
  <c r="I58" i="8" s="1"/>
  <c r="H48" i="8"/>
  <c r="I63" i="8" s="1"/>
  <c r="H47" i="8"/>
  <c r="I62" i="8" s="1"/>
  <c r="H44" i="8"/>
  <c r="I59" i="8" s="1"/>
  <c r="H49" i="8"/>
  <c r="I64" i="8" s="1"/>
  <c r="H45" i="8"/>
  <c r="I60" i="8" s="1"/>
  <c r="L49" i="4"/>
  <c r="L51" i="4"/>
  <c r="L53" i="4"/>
  <c r="L55" i="4"/>
  <c r="L57" i="4"/>
  <c r="L47" i="4"/>
  <c r="E47" i="4"/>
  <c r="G47" i="4"/>
  <c r="I47" i="4"/>
  <c r="K47" i="4"/>
  <c r="E49" i="4"/>
  <c r="G49" i="4"/>
  <c r="I49" i="4"/>
  <c r="K49" i="4"/>
  <c r="E51" i="4"/>
  <c r="G51" i="4"/>
  <c r="I51" i="4"/>
  <c r="K51" i="4"/>
  <c r="E53" i="4"/>
  <c r="G53" i="4"/>
  <c r="I53" i="4"/>
  <c r="K53" i="4"/>
  <c r="E55" i="4"/>
  <c r="G55" i="4"/>
  <c r="I55" i="4"/>
  <c r="K55" i="4"/>
  <c r="E57" i="4"/>
  <c r="G57" i="4"/>
  <c r="I57" i="4"/>
  <c r="K57" i="4"/>
  <c r="C57" i="4"/>
  <c r="C49" i="4"/>
  <c r="C51" i="4"/>
  <c r="C53" i="4"/>
  <c r="C55" i="4"/>
  <c r="C47" i="4"/>
  <c r="B49" i="4"/>
  <c r="B51" i="4"/>
  <c r="B47" i="4"/>
  <c r="I50" i="4"/>
  <c r="I52" i="4"/>
  <c r="I54" i="4"/>
  <c r="I56" i="4"/>
  <c r="I58" i="4"/>
  <c r="E58" i="4"/>
  <c r="E56" i="4"/>
  <c r="E54" i="4"/>
  <c r="E52" i="4"/>
  <c r="E50" i="4"/>
  <c r="I48" i="4"/>
  <c r="E48" i="4"/>
  <c r="B50" i="4"/>
  <c r="B48" i="4"/>
  <c r="G50" i="8" l="1"/>
  <c r="E50" i="8"/>
  <c r="E48" i="8"/>
  <c r="E47" i="8"/>
  <c r="E46" i="8"/>
  <c r="E44" i="8"/>
  <c r="E43" i="8"/>
  <c r="E51" i="8"/>
  <c r="E49" i="8"/>
  <c r="D46" i="8"/>
  <c r="E45" i="8"/>
  <c r="D51" i="8"/>
  <c r="D54" i="4"/>
  <c r="G49" i="8"/>
  <c r="G48" i="8"/>
  <c r="G47" i="8"/>
  <c r="G46" i="8"/>
  <c r="G45" i="8"/>
  <c r="G44" i="8"/>
  <c r="G43" i="8"/>
  <c r="G51" i="8"/>
  <c r="F46" i="8"/>
  <c r="H54" i="4"/>
  <c r="L58" i="4"/>
  <c r="L48" i="4"/>
  <c r="L52" i="4"/>
  <c r="L50" i="4"/>
  <c r="L56" i="4"/>
  <c r="C56" i="4"/>
  <c r="C52" i="4"/>
  <c r="C58" i="4"/>
  <c r="C48" i="4"/>
  <c r="C50" i="4"/>
  <c r="G48" i="4"/>
  <c r="G52" i="4"/>
  <c r="G56" i="4"/>
  <c r="G58" i="4"/>
  <c r="G50" i="4"/>
  <c r="B52" i="4"/>
  <c r="L36" i="4"/>
  <c r="L38" i="4"/>
  <c r="L40" i="4"/>
  <c r="L42" i="4"/>
  <c r="L44" i="4"/>
  <c r="L34" i="4"/>
  <c r="L22" i="4"/>
  <c r="L24" i="4"/>
  <c r="L26" i="4"/>
  <c r="L28" i="4"/>
  <c r="L30" i="4"/>
  <c r="L20" i="4"/>
  <c r="L8" i="4"/>
  <c r="L10" i="4"/>
  <c r="L12" i="4"/>
  <c r="L14" i="4"/>
  <c r="L16" i="4"/>
  <c r="L6" i="4"/>
  <c r="B36" i="4"/>
  <c r="B38" i="4"/>
  <c r="B34" i="4"/>
  <c r="B22" i="4"/>
  <c r="B24" i="4"/>
  <c r="B20" i="4"/>
  <c r="B8" i="4"/>
  <c r="B10" i="4"/>
  <c r="B6" i="4"/>
  <c r="I50" i="8" l="1"/>
  <c r="J65" i="8" s="1"/>
  <c r="K54" i="4"/>
  <c r="U11" i="2"/>
  <c r="V2179" i="2" s="1"/>
  <c r="M27" i="4" s="1"/>
  <c r="I48" i="8"/>
  <c r="J63" i="8" s="1"/>
  <c r="I46" i="8"/>
  <c r="J61" i="8" s="1"/>
  <c r="I44" i="8"/>
  <c r="J59" i="8" s="1"/>
  <c r="I51" i="8"/>
  <c r="H46" i="8"/>
  <c r="I61" i="8" s="1"/>
  <c r="H51" i="8"/>
  <c r="I49" i="8"/>
  <c r="J64" i="8" s="1"/>
  <c r="I47" i="8"/>
  <c r="J62" i="8" s="1"/>
  <c r="I45" i="8"/>
  <c r="J60" i="8" s="1"/>
  <c r="I43" i="8"/>
  <c r="J58" i="8" s="1"/>
  <c r="L54" i="4"/>
  <c r="G54" i="4"/>
  <c r="K50" i="4"/>
  <c r="K58" i="4"/>
  <c r="K48" i="4"/>
  <c r="K52" i="4"/>
  <c r="K56" i="4"/>
  <c r="C54" i="4"/>
  <c r="L45" i="4"/>
  <c r="L35" i="4"/>
  <c r="L43" i="4"/>
  <c r="L37" i="4"/>
  <c r="L39" i="4"/>
  <c r="U7" i="2"/>
  <c r="L23" i="4" s="1"/>
  <c r="U15" i="2"/>
  <c r="L31" i="4" s="1"/>
  <c r="U9" i="2"/>
  <c r="L25" i="4" s="1"/>
  <c r="U13" i="2"/>
  <c r="L29" i="4" s="1"/>
  <c r="U5" i="2"/>
  <c r="L21" i="4" s="1"/>
  <c r="L17" i="4"/>
  <c r="L11" i="4"/>
  <c r="L15" i="4"/>
  <c r="L7" i="4"/>
  <c r="L9" i="4"/>
  <c r="C44" i="4"/>
  <c r="E44" i="4"/>
  <c r="G44" i="4"/>
  <c r="I44" i="4"/>
  <c r="K44" i="4"/>
  <c r="C36" i="4"/>
  <c r="E36" i="4"/>
  <c r="G36" i="4"/>
  <c r="I36" i="4"/>
  <c r="K36" i="4"/>
  <c r="C38" i="4"/>
  <c r="E38" i="4"/>
  <c r="G38" i="4"/>
  <c r="I38" i="4"/>
  <c r="K38" i="4"/>
  <c r="C40" i="4"/>
  <c r="E40" i="4"/>
  <c r="G40" i="4"/>
  <c r="I40" i="4"/>
  <c r="K40" i="4"/>
  <c r="C42" i="4"/>
  <c r="E42" i="4"/>
  <c r="G42" i="4"/>
  <c r="I42" i="4"/>
  <c r="K42" i="4"/>
  <c r="E34" i="4"/>
  <c r="G34" i="4"/>
  <c r="I34" i="4"/>
  <c r="K34" i="4"/>
  <c r="C34" i="4"/>
  <c r="C22" i="4"/>
  <c r="E22" i="4"/>
  <c r="G22" i="4"/>
  <c r="I22" i="4"/>
  <c r="K22" i="4"/>
  <c r="C24" i="4"/>
  <c r="E24" i="4"/>
  <c r="G24" i="4"/>
  <c r="I24" i="4"/>
  <c r="K24" i="4"/>
  <c r="C26" i="4"/>
  <c r="E26" i="4"/>
  <c r="G26" i="4"/>
  <c r="I26" i="4"/>
  <c r="K26" i="4"/>
  <c r="C28" i="4"/>
  <c r="E28" i="4"/>
  <c r="G28" i="4"/>
  <c r="I28" i="4"/>
  <c r="K28" i="4"/>
  <c r="C30" i="4"/>
  <c r="E30" i="4"/>
  <c r="G30" i="4"/>
  <c r="I30" i="4"/>
  <c r="K30" i="4"/>
  <c r="E20" i="4"/>
  <c r="G20" i="4"/>
  <c r="I20" i="4"/>
  <c r="K20" i="4"/>
  <c r="C20" i="4"/>
  <c r="C8" i="4"/>
  <c r="E8" i="4"/>
  <c r="G8" i="4"/>
  <c r="I8" i="4"/>
  <c r="K8" i="4"/>
  <c r="C10" i="4"/>
  <c r="E10" i="4"/>
  <c r="G10" i="4"/>
  <c r="I10" i="4"/>
  <c r="K10" i="4"/>
  <c r="C12" i="4"/>
  <c r="E12" i="4"/>
  <c r="G12" i="4"/>
  <c r="I12" i="4"/>
  <c r="K12" i="4"/>
  <c r="C14" i="4"/>
  <c r="E14" i="4"/>
  <c r="G14" i="4"/>
  <c r="I14" i="4"/>
  <c r="K14" i="4"/>
  <c r="C16" i="4"/>
  <c r="E16" i="4"/>
  <c r="G16" i="4"/>
  <c r="I16" i="4"/>
  <c r="K16" i="4"/>
  <c r="E6" i="4"/>
  <c r="G6" i="4"/>
  <c r="I6" i="4"/>
  <c r="K6" i="4"/>
  <c r="C6" i="4"/>
  <c r="L41" i="4" l="1"/>
  <c r="L27" i="4"/>
  <c r="L13" i="4"/>
  <c r="I17" i="4" l="1"/>
  <c r="E17" i="4"/>
  <c r="I15" i="4"/>
  <c r="E15" i="4"/>
  <c r="I13" i="4"/>
  <c r="E13" i="4"/>
  <c r="I11" i="4"/>
  <c r="E11" i="4"/>
  <c r="B9" i="4"/>
  <c r="I9" i="4"/>
  <c r="E9" i="4"/>
  <c r="I7" i="4"/>
  <c r="E7" i="4"/>
  <c r="I31" i="4"/>
  <c r="E31" i="4"/>
  <c r="I29" i="4"/>
  <c r="E29" i="4"/>
  <c r="I25" i="4"/>
  <c r="E25" i="4"/>
  <c r="B23" i="4"/>
  <c r="I23" i="4"/>
  <c r="E23" i="4"/>
  <c r="I21" i="4"/>
  <c r="E21" i="4"/>
  <c r="I24" i="2" l="1"/>
  <c r="D19" i="8" s="1"/>
  <c r="I25" i="2"/>
  <c r="D20" i="8" s="1"/>
  <c r="I30" i="2"/>
  <c r="D25" i="8" s="1"/>
  <c r="D11" i="8"/>
  <c r="I31" i="2"/>
  <c r="D26" i="8" s="1"/>
  <c r="M24" i="2"/>
  <c r="F19" i="8" s="1"/>
  <c r="I27" i="2"/>
  <c r="D22" i="8" s="1"/>
  <c r="D14" i="8"/>
  <c r="D7" i="8"/>
  <c r="F11" i="8"/>
  <c r="F7" i="8"/>
  <c r="F14" i="8"/>
  <c r="M30" i="2"/>
  <c r="F25" i="8" s="1"/>
  <c r="M27" i="2"/>
  <c r="F22" i="8" s="1"/>
  <c r="M25" i="2"/>
  <c r="F20" i="8" s="1"/>
  <c r="M31" i="2"/>
  <c r="F26" i="8" s="1"/>
  <c r="F10" i="8"/>
  <c r="F9" i="8"/>
  <c r="D10" i="8"/>
  <c r="D9" i="8"/>
  <c r="N28" i="2" a="1"/>
  <c r="N28" i="2" s="1"/>
  <c r="G23" i="8" s="1"/>
  <c r="N24" i="2" a="1"/>
  <c r="N24" i="2" s="1"/>
  <c r="G19" i="8" s="1"/>
  <c r="N31" i="2" a="1"/>
  <c r="N31" i="2" s="1"/>
  <c r="G26" i="8" s="1"/>
  <c r="N27" i="2" a="1"/>
  <c r="N27" i="2" s="1"/>
  <c r="G22" i="8" s="1"/>
  <c r="N32" i="2"/>
  <c r="G27" i="8" s="1"/>
  <c r="M26" i="2"/>
  <c r="F21" i="8" s="1"/>
  <c r="N30" i="2" a="1"/>
  <c r="N30" i="2" s="1"/>
  <c r="G25" i="8" s="1"/>
  <c r="N26" i="2" a="1"/>
  <c r="N26" i="2" s="1"/>
  <c r="G21" i="8" s="1"/>
  <c r="N29" i="2" a="1"/>
  <c r="N29" i="2" s="1"/>
  <c r="G24" i="8" s="1"/>
  <c r="N25" i="2" a="1"/>
  <c r="N25" i="2" s="1"/>
  <c r="G20" i="8" s="1"/>
  <c r="M11" i="2"/>
  <c r="L11" i="2" s="1"/>
  <c r="M29" i="2"/>
  <c r="F24" i="8" s="1"/>
  <c r="M28" i="2"/>
  <c r="F23" i="8" s="1"/>
  <c r="G14" i="8"/>
  <c r="G7" i="8"/>
  <c r="G13" i="8"/>
  <c r="G10" i="8"/>
  <c r="G9" i="8"/>
  <c r="G12" i="8"/>
  <c r="G15" i="8"/>
  <c r="F12" i="8"/>
  <c r="G11" i="8"/>
  <c r="G8" i="8"/>
  <c r="J31" i="2" a="1"/>
  <c r="J31" i="2" s="1"/>
  <c r="E26" i="8" s="1"/>
  <c r="J32" i="2"/>
  <c r="E27" i="8" s="1"/>
  <c r="I11" i="2"/>
  <c r="H11" i="2" s="1"/>
  <c r="D27" i="4" s="1"/>
  <c r="J29" i="2" a="1"/>
  <c r="J29" i="2" s="1"/>
  <c r="E24" i="8" s="1"/>
  <c r="J30" i="2" a="1"/>
  <c r="J30" i="2" s="1"/>
  <c r="E25" i="8" s="1"/>
  <c r="J25" i="2" a="1"/>
  <c r="J25" i="2" s="1"/>
  <c r="E20" i="8" s="1"/>
  <c r="I26" i="2"/>
  <c r="D21" i="8" s="1"/>
  <c r="J28" i="2" a="1"/>
  <c r="J28" i="2" s="1"/>
  <c r="E23" i="8" s="1"/>
  <c r="J26" i="2" a="1"/>
  <c r="J26" i="2" s="1"/>
  <c r="E21" i="8" s="1"/>
  <c r="J24" i="2" a="1"/>
  <c r="J24" i="2" s="1"/>
  <c r="E19" i="8" s="1"/>
  <c r="I32" i="2"/>
  <c r="D27" i="8" s="1"/>
  <c r="J27" i="2" a="1"/>
  <c r="J27" i="2" s="1"/>
  <c r="E22" i="8" s="1"/>
  <c r="D13" i="8"/>
  <c r="D8" i="8"/>
  <c r="F13" i="8"/>
  <c r="F8" i="8"/>
  <c r="I29" i="2"/>
  <c r="D24" i="8" s="1"/>
  <c r="I28" i="2"/>
  <c r="D23" i="8" s="1"/>
  <c r="E8" i="8"/>
  <c r="E15" i="8"/>
  <c r="E14" i="8"/>
  <c r="E10" i="8"/>
  <c r="D15" i="8"/>
  <c r="E13" i="8"/>
  <c r="E12" i="8"/>
  <c r="D12" i="8"/>
  <c r="E9" i="8"/>
  <c r="E11" i="8"/>
  <c r="E7" i="8"/>
  <c r="I9" i="2"/>
  <c r="C25" i="4" s="1"/>
  <c r="I13" i="2"/>
  <c r="C29" i="4" s="1"/>
  <c r="I5" i="2"/>
  <c r="C21" i="4" s="1"/>
  <c r="I15" i="2"/>
  <c r="C31" i="4" s="1"/>
  <c r="I7" i="2"/>
  <c r="C23" i="4" s="1"/>
  <c r="M9" i="2"/>
  <c r="G25" i="4" s="1"/>
  <c r="M15" i="2"/>
  <c r="G31" i="4" s="1"/>
  <c r="M7" i="2"/>
  <c r="G23" i="4" s="1"/>
  <c r="M13" i="2"/>
  <c r="G29" i="4" s="1"/>
  <c r="M5" i="2"/>
  <c r="G21" i="4" s="1"/>
  <c r="G15" i="4"/>
  <c r="G9" i="4"/>
  <c r="G17" i="4"/>
  <c r="G11" i="4"/>
  <c r="G7" i="4"/>
  <c r="C7" i="4"/>
  <c r="C11" i="4"/>
  <c r="C9" i="4"/>
  <c r="C15" i="4"/>
  <c r="C17" i="4"/>
  <c r="B11" i="4"/>
  <c r="B21" i="4"/>
  <c r="B25" i="4"/>
  <c r="B7" i="4"/>
  <c r="C15" i="8"/>
  <c r="B37" i="4"/>
  <c r="B63" i="4" s="1"/>
  <c r="I45" i="4"/>
  <c r="I43" i="4"/>
  <c r="I41" i="4"/>
  <c r="I39" i="4"/>
  <c r="I37" i="4"/>
  <c r="I35" i="4"/>
  <c r="E45" i="4"/>
  <c r="E43" i="4"/>
  <c r="E41" i="4"/>
  <c r="E39" i="4"/>
  <c r="E37" i="4"/>
  <c r="E35" i="4"/>
  <c r="P11" i="2" l="1"/>
  <c r="K27" i="4" s="1"/>
  <c r="K13" i="4"/>
  <c r="P24" i="2"/>
  <c r="H19" i="8" s="1"/>
  <c r="E58" i="8" s="1"/>
  <c r="P27" i="2"/>
  <c r="H22" i="8" s="1"/>
  <c r="E61" i="8" s="1"/>
  <c r="P25" i="2"/>
  <c r="H20" i="8" s="1"/>
  <c r="E59" i="8" s="1"/>
  <c r="H8" i="8"/>
  <c r="C59" i="8" s="1"/>
  <c r="P28" i="2"/>
  <c r="H23" i="8" s="1"/>
  <c r="E62" i="8" s="1"/>
  <c r="H11" i="8"/>
  <c r="C62" i="8" s="1"/>
  <c r="P31" i="2"/>
  <c r="H26" i="8" s="1"/>
  <c r="E65" i="8" s="1"/>
  <c r="P30" i="2"/>
  <c r="H25" i="8" s="1"/>
  <c r="E64" i="8" s="1"/>
  <c r="H7" i="8"/>
  <c r="C58" i="8" s="1"/>
  <c r="H14" i="8"/>
  <c r="C65" i="8" s="1"/>
  <c r="H10" i="8"/>
  <c r="C61" i="8" s="1"/>
  <c r="I15" i="8"/>
  <c r="I11" i="8"/>
  <c r="D62" i="8" s="1"/>
  <c r="I12" i="8"/>
  <c r="D63" i="8" s="1"/>
  <c r="I8" i="8"/>
  <c r="D59" i="8" s="1"/>
  <c r="I9" i="8"/>
  <c r="D60" i="8" s="1"/>
  <c r="I7" i="8"/>
  <c r="D58" i="8" s="1"/>
  <c r="I10" i="8"/>
  <c r="D61" i="8" s="1"/>
  <c r="I13" i="8"/>
  <c r="D64" i="8" s="1"/>
  <c r="I14" i="8"/>
  <c r="D65" i="8" s="1"/>
  <c r="H12" i="8"/>
  <c r="C63" i="8" s="1"/>
  <c r="H15" i="8"/>
  <c r="Q28" i="2" a="1"/>
  <c r="Q28" i="2" s="1"/>
  <c r="I23" i="8" s="1"/>
  <c r="F62" i="8" s="1"/>
  <c r="Q29" i="2" a="1"/>
  <c r="Q29" i="2" s="1"/>
  <c r="I24" i="8" s="1"/>
  <c r="F63" i="8" s="1"/>
  <c r="Q26" i="2" a="1"/>
  <c r="Q26" i="2" s="1"/>
  <c r="I21" i="8" s="1"/>
  <c r="F60" i="8" s="1"/>
  <c r="Q27" i="2" a="1"/>
  <c r="Q27" i="2" s="1"/>
  <c r="I22" i="8" s="1"/>
  <c r="F61" i="8" s="1"/>
  <c r="P32" i="2"/>
  <c r="H27" i="8" s="1"/>
  <c r="Q25" i="2" a="1"/>
  <c r="Q25" i="2" s="1"/>
  <c r="I20" i="8" s="1"/>
  <c r="F59" i="8" s="1"/>
  <c r="P26" i="2"/>
  <c r="H21" i="8" s="1"/>
  <c r="E60" i="8" s="1"/>
  <c r="Q30" i="2" a="1"/>
  <c r="Q30" i="2" s="1"/>
  <c r="I25" i="8" s="1"/>
  <c r="F64" i="8" s="1"/>
  <c r="Q31" i="2" a="1"/>
  <c r="Q31" i="2" s="1"/>
  <c r="I26" i="8" s="1"/>
  <c r="F65" i="8" s="1"/>
  <c r="Q32" i="2"/>
  <c r="I27" i="8" s="1"/>
  <c r="Q24" i="2" a="1"/>
  <c r="Q24" i="2" s="1"/>
  <c r="I19" i="8" s="1"/>
  <c r="F58" i="8" s="1"/>
  <c r="P29" i="2"/>
  <c r="H24" i="8" s="1"/>
  <c r="E63" i="8" s="1"/>
  <c r="H13" i="8"/>
  <c r="C64" i="8" s="1"/>
  <c r="H9" i="8"/>
  <c r="C60" i="8" s="1"/>
  <c r="H13" i="4"/>
  <c r="D13" i="4"/>
  <c r="H27" i="4"/>
  <c r="G27" i="4"/>
  <c r="C27" i="4"/>
  <c r="P13" i="2"/>
  <c r="K29" i="4" s="1"/>
  <c r="P5" i="2"/>
  <c r="K21" i="4" s="1"/>
  <c r="P15" i="2"/>
  <c r="K31" i="4" s="1"/>
  <c r="P7" i="2"/>
  <c r="K23" i="4" s="1"/>
  <c r="P9" i="2"/>
  <c r="K25" i="4" s="1"/>
  <c r="G13" i="4"/>
  <c r="C13" i="4"/>
  <c r="K15" i="4"/>
  <c r="K7" i="4"/>
  <c r="K9" i="4"/>
  <c r="K17" i="4"/>
  <c r="K11" i="4"/>
  <c r="B35" i="4"/>
  <c r="B61" i="4" s="1"/>
  <c r="B39" i="4"/>
  <c r="F32" i="8"/>
  <c r="C37" i="4" l="1"/>
  <c r="F34" i="8"/>
  <c r="B65" i="4"/>
  <c r="D36" i="8"/>
  <c r="F37" i="8"/>
  <c r="F36" i="8"/>
  <c r="F33" i="8"/>
  <c r="D35" i="8"/>
  <c r="D34" i="8"/>
  <c r="D33" i="8"/>
  <c r="E32" i="8"/>
  <c r="E34" i="8"/>
  <c r="D31" i="8"/>
  <c r="E31" i="8"/>
  <c r="E33" i="8"/>
  <c r="E39" i="8"/>
  <c r="E36" i="8"/>
  <c r="E38" i="8"/>
  <c r="D41" i="4"/>
  <c r="D39" i="8"/>
  <c r="E35" i="8"/>
  <c r="E37" i="8"/>
  <c r="D37" i="8"/>
  <c r="D32" i="8"/>
  <c r="D38" i="8"/>
  <c r="G33" i="8"/>
  <c r="G36" i="8"/>
  <c r="G32" i="8"/>
  <c r="G38" i="8"/>
  <c r="F31" i="8"/>
  <c r="G31" i="8"/>
  <c r="G34" i="8"/>
  <c r="H41" i="4"/>
  <c r="G39" i="8"/>
  <c r="G37" i="8"/>
  <c r="G35" i="8"/>
  <c r="F38" i="8"/>
  <c r="F35" i="8"/>
  <c r="G39" i="4"/>
  <c r="G37" i="4"/>
  <c r="G43" i="4"/>
  <c r="G35" i="4"/>
  <c r="G45" i="4"/>
  <c r="C43" i="4"/>
  <c r="C35" i="4"/>
  <c r="C45" i="4"/>
  <c r="C39" i="4"/>
  <c r="K41" i="4" l="1"/>
  <c r="K43" i="4"/>
  <c r="K45" i="4"/>
  <c r="H38" i="8"/>
  <c r="G65" i="8" s="1"/>
  <c r="H34" i="8"/>
  <c r="G61" i="8" s="1"/>
  <c r="H36" i="8"/>
  <c r="G63" i="8" s="1"/>
  <c r="I35" i="8"/>
  <c r="H62" i="8" s="1"/>
  <c r="I36" i="8"/>
  <c r="H63" i="8" s="1"/>
  <c r="I39" i="8"/>
  <c r="I33" i="8"/>
  <c r="H60" i="8" s="1"/>
  <c r="I34" i="8"/>
  <c r="H61" i="8" s="1"/>
  <c r="I31" i="8"/>
  <c r="H58" i="8" s="1"/>
  <c r="I32" i="8"/>
  <c r="H59" i="8" s="1"/>
  <c r="I38" i="8"/>
  <c r="H65" i="8" s="1"/>
  <c r="H31" i="8"/>
  <c r="G58" i="8" s="1"/>
  <c r="H39" i="8"/>
  <c r="I37" i="8"/>
  <c r="H64" i="8" s="1"/>
  <c r="H33" i="8"/>
  <c r="G60" i="8" s="1"/>
  <c r="H32" i="8"/>
  <c r="G59" i="8" s="1"/>
  <c r="H35" i="8"/>
  <c r="G62" i="8" s="1"/>
  <c r="H37" i="8"/>
  <c r="G64" i="8" s="1"/>
  <c r="K37" i="4"/>
  <c r="K39" i="4"/>
  <c r="K35" i="4"/>
  <c r="C41" i="4"/>
  <c r="G41" i="4"/>
  <c r="I27" i="4"/>
  <c r="O11" i="2"/>
  <c r="J27" i="4" s="1"/>
</calcChain>
</file>

<file path=xl/sharedStrings.xml><?xml version="1.0" encoding="utf-8"?>
<sst xmlns="http://schemas.openxmlformats.org/spreadsheetml/2006/main" count="365" uniqueCount="90">
  <si>
    <t>ID</t>
  </si>
  <si>
    <t>Name</t>
  </si>
  <si>
    <t>Sex</t>
  </si>
  <si>
    <t>Age</t>
  </si>
  <si>
    <t>Birth Date</t>
  </si>
  <si>
    <t>Study Date</t>
  </si>
  <si>
    <t>Requesting Name</t>
  </si>
  <si>
    <t>Total Count</t>
    <phoneticPr fontId="1" type="noConversion"/>
  </si>
  <si>
    <t>Avg. Count</t>
    <phoneticPr fontId="1" type="noConversion"/>
  </si>
  <si>
    <t>Area(Pxls)</t>
    <phoneticPr fontId="1" type="noConversion"/>
  </si>
  <si>
    <t>Femur</t>
    <phoneticPr fontId="1" type="noConversion"/>
  </si>
  <si>
    <t>Thigh</t>
    <phoneticPr fontId="1" type="noConversion"/>
  </si>
  <si>
    <t>total</t>
    <phoneticPr fontId="1" type="noConversion"/>
  </si>
  <si>
    <t>20s</t>
    <phoneticPr fontId="1" type="noConversion"/>
  </si>
  <si>
    <t>30s</t>
    <phoneticPr fontId="1" type="noConversion"/>
  </si>
  <si>
    <t>40s</t>
    <phoneticPr fontId="1" type="noConversion"/>
  </si>
  <si>
    <t>50s</t>
    <phoneticPr fontId="1" type="noConversion"/>
  </si>
  <si>
    <t>60s</t>
    <phoneticPr fontId="1" type="noConversion"/>
  </si>
  <si>
    <t>70s</t>
    <phoneticPr fontId="1" type="noConversion"/>
  </si>
  <si>
    <t>F to T Ratio</t>
    <phoneticPr fontId="1" type="noConversion"/>
  </si>
  <si>
    <t>Number</t>
    <phoneticPr fontId="1" type="noConversion"/>
  </si>
  <si>
    <t>Mean_Femur Avg</t>
    <phoneticPr fontId="1" type="noConversion"/>
  </si>
  <si>
    <t>Mean_Thigh Avg</t>
    <phoneticPr fontId="1" type="noConversion"/>
  </si>
  <si>
    <t>Mean_Femur STD</t>
    <phoneticPr fontId="1" type="noConversion"/>
  </si>
  <si>
    <t>Mean_Thigh STD</t>
    <phoneticPr fontId="1" type="noConversion"/>
  </si>
  <si>
    <t>STD</t>
    <phoneticPr fontId="1" type="noConversion"/>
  </si>
  <si>
    <t>STD_Femur Avg</t>
    <phoneticPr fontId="1" type="noConversion"/>
  </si>
  <si>
    <t>Max_Femur Avg</t>
    <phoneticPr fontId="1" type="noConversion"/>
  </si>
  <si>
    <t>Mode_Femur Avg</t>
    <phoneticPr fontId="1" type="noConversion"/>
  </si>
  <si>
    <t>Median_Femur Avg</t>
    <phoneticPr fontId="1" type="noConversion"/>
  </si>
  <si>
    <t>Min_Femur Avg</t>
    <phoneticPr fontId="1" type="noConversion"/>
  </si>
  <si>
    <t>STD_Thigh Avg</t>
  </si>
  <si>
    <t>Max_Thigh Avg</t>
  </si>
  <si>
    <t>Mode_Thigh Avg</t>
  </si>
  <si>
    <t>Median_Thigh Avg</t>
  </si>
  <si>
    <t>Min_Thigh Avg</t>
  </si>
  <si>
    <t>STD_Femur STD</t>
  </si>
  <si>
    <t>Max_Femur STD</t>
  </si>
  <si>
    <t>Mode_Femur STD</t>
  </si>
  <si>
    <t>Median_Femur STD</t>
  </si>
  <si>
    <t>Min_Femur STD</t>
  </si>
  <si>
    <t>STD_Thigh STD</t>
  </si>
  <si>
    <t>Max_Thigh STD</t>
  </si>
  <si>
    <t>Mode_Thigh STD</t>
  </si>
  <si>
    <t>Median_Thigh STD</t>
  </si>
  <si>
    <t>Min_Thigh STD</t>
  </si>
  <si>
    <t>M</t>
    <phoneticPr fontId="1" type="noConversion"/>
  </si>
  <si>
    <t>F</t>
    <phoneticPr fontId="1" type="noConversion"/>
  </si>
  <si>
    <t>STD_Thigh Avg</t>
    <phoneticPr fontId="1" type="noConversion"/>
  </si>
  <si>
    <t>Sorting by Age</t>
    <phoneticPr fontId="1" type="noConversion"/>
  </si>
  <si>
    <t>Instrument</t>
    <phoneticPr fontId="1" type="noConversion"/>
  </si>
  <si>
    <t>Infi</t>
    <phoneticPr fontId="1" type="noConversion"/>
  </si>
  <si>
    <t>Sym</t>
    <phoneticPr fontId="1" type="noConversion"/>
  </si>
  <si>
    <t>NMCT670</t>
    <phoneticPr fontId="1" type="noConversion"/>
  </si>
  <si>
    <t>NMCT670</t>
    <phoneticPr fontId="1" type="noConversion"/>
  </si>
  <si>
    <t>Sym</t>
    <phoneticPr fontId="1" type="noConversion"/>
  </si>
  <si>
    <t>투여</t>
    <phoneticPr fontId="1" type="noConversion"/>
  </si>
  <si>
    <t>촬영</t>
    <phoneticPr fontId="1" type="noConversion"/>
  </si>
  <si>
    <t>Infi</t>
    <phoneticPr fontId="1" type="noConversion"/>
  </si>
  <si>
    <t>Total</t>
    <phoneticPr fontId="1" type="noConversion"/>
  </si>
  <si>
    <t>Total</t>
    <phoneticPr fontId="1" type="noConversion"/>
  </si>
  <si>
    <t>M</t>
    <phoneticPr fontId="1" type="noConversion"/>
  </si>
  <si>
    <t>F</t>
    <phoneticPr fontId="1" type="noConversion"/>
  </si>
  <si>
    <t>Time Interval</t>
    <phoneticPr fontId="1" type="noConversion"/>
  </si>
  <si>
    <t>Mean_Interv.</t>
    <phoneticPr fontId="1" type="noConversion"/>
  </si>
  <si>
    <t>STD_Interv.</t>
    <phoneticPr fontId="1" type="noConversion"/>
  </si>
  <si>
    <t>Max_Interv.</t>
    <phoneticPr fontId="1" type="noConversion"/>
  </si>
  <si>
    <t>Mode_Interv.</t>
    <phoneticPr fontId="1" type="noConversion"/>
  </si>
  <si>
    <t>Median_Interv.</t>
    <phoneticPr fontId="1" type="noConversion"/>
  </si>
  <si>
    <t>Min_Interv.</t>
    <phoneticPr fontId="1" type="noConversion"/>
  </si>
  <si>
    <t>OVERALL</t>
    <phoneticPr fontId="1" type="noConversion"/>
  </si>
  <si>
    <t>Sorting by Age</t>
    <phoneticPr fontId="1" type="noConversion"/>
  </si>
  <si>
    <t>NM830</t>
    <phoneticPr fontId="1" type="noConversion"/>
  </si>
  <si>
    <t>Femur</t>
    <phoneticPr fontId="1" type="noConversion"/>
  </si>
  <si>
    <t>Thigh</t>
  </si>
  <si>
    <t>Thigh</t>
    <phoneticPr fontId="1" type="noConversion"/>
  </si>
  <si>
    <t>Ratio</t>
    <phoneticPr fontId="1" type="noConversion"/>
  </si>
  <si>
    <t>Range</t>
    <phoneticPr fontId="1" type="noConversion"/>
  </si>
  <si>
    <t>~10s</t>
    <phoneticPr fontId="1" type="noConversion"/>
  </si>
  <si>
    <t>80s~</t>
    <phoneticPr fontId="1" type="noConversion"/>
  </si>
  <si>
    <t>Time Interval</t>
    <phoneticPr fontId="1" type="noConversion"/>
  </si>
  <si>
    <t>Mean_Ratio</t>
  </si>
  <si>
    <t>STD_Ratio</t>
  </si>
  <si>
    <t>Max_Ratio</t>
  </si>
  <si>
    <t>Mode_Ratio</t>
  </si>
  <si>
    <t>Median_Ratio</t>
  </si>
  <si>
    <t>Min_Ratio</t>
  </si>
  <si>
    <t>Age</t>
    <phoneticPr fontId="1" type="noConversion"/>
  </si>
  <si>
    <t>Femur-to-Thigh Ratio sorted by age</t>
    <phoneticPr fontId="1" type="noConversion"/>
  </si>
  <si>
    <t>Sharpness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</si>
</sst>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7" formatCode="0.000"/>
    <numFmt numFmtId="178" formatCode="0.0000"/>
    <numFmt numFmtId="179" formatCode="h:mm;@"/>
    <numFmt numFmtId="180" formatCode="0.00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177" fontId="0" fillId="0" borderId="0" xfId="0" applyNumberFormat="1" applyBorder="1">
      <alignment vertical="center"/>
    </xf>
    <xf numFmtId="178" fontId="0" fillId="0" borderId="0" xfId="0" applyNumberFormat="1" applyBorder="1">
      <alignment vertical="center"/>
    </xf>
    <xf numFmtId="0" fontId="0" fillId="0" borderId="9" xfId="0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0" xfId="0" applyBorder="1">
      <alignment vertical="center"/>
    </xf>
    <xf numFmtId="178" fontId="0" fillId="0" borderId="9" xfId="0" applyNumberFormat="1" applyBorder="1">
      <alignment vertical="center"/>
    </xf>
    <xf numFmtId="178" fontId="0" fillId="0" borderId="8" xfId="0" applyNumberForma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178" fontId="0" fillId="0" borderId="15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6" xfId="0" applyBorder="1">
      <alignment vertical="center"/>
    </xf>
    <xf numFmtId="178" fontId="0" fillId="0" borderId="16" xfId="0" applyNumberFormat="1" applyBorder="1">
      <alignment vertical="center"/>
    </xf>
    <xf numFmtId="0" fontId="0" fillId="0" borderId="0" xfId="0" applyFill="1" applyBorder="1">
      <alignment vertical="center"/>
    </xf>
    <xf numFmtId="1" fontId="0" fillId="0" borderId="0" xfId="0" applyNumberFormat="1">
      <alignment vertical="center"/>
    </xf>
    <xf numFmtId="177" fontId="0" fillId="0" borderId="15" xfId="0" applyNumberFormat="1" applyBorder="1">
      <alignment vertical="center"/>
    </xf>
    <xf numFmtId="1" fontId="0" fillId="0" borderId="0" xfId="0" applyNumberFormat="1" applyBorder="1">
      <alignment vertical="center"/>
    </xf>
    <xf numFmtId="177" fontId="0" fillId="0" borderId="14" xfId="0" applyNumberFormat="1" applyBorder="1">
      <alignment vertical="center"/>
    </xf>
    <xf numFmtId="177" fontId="3" fillId="0" borderId="15" xfId="0" applyNumberFormat="1" applyFont="1" applyBorder="1">
      <alignment vertical="center"/>
    </xf>
    <xf numFmtId="177" fontId="3" fillId="0" borderId="13" xfId="0" applyNumberFormat="1" applyFont="1" applyBorder="1">
      <alignment vertical="center"/>
    </xf>
    <xf numFmtId="179" fontId="0" fillId="0" borderId="5" xfId="0" applyNumberFormat="1" applyBorder="1">
      <alignment vertical="center"/>
    </xf>
    <xf numFmtId="179" fontId="0" fillId="0" borderId="4" xfId="0" applyNumberFormat="1" applyBorder="1">
      <alignment vertical="center"/>
    </xf>
    <xf numFmtId="179" fontId="0" fillId="0" borderId="3" xfId="0" applyNumberFormat="1" applyBorder="1">
      <alignment vertical="center"/>
    </xf>
    <xf numFmtId="179" fontId="0" fillId="0" borderId="0" xfId="0" applyNumberFormat="1" applyBorder="1">
      <alignment vertical="center"/>
    </xf>
    <xf numFmtId="1" fontId="0" fillId="0" borderId="15" xfId="0" applyNumberFormat="1" applyBorder="1">
      <alignment vertical="center"/>
    </xf>
    <xf numFmtId="1" fontId="0" fillId="0" borderId="5" xfId="0" applyNumberFormat="1" applyBorder="1">
      <alignment vertical="center"/>
    </xf>
    <xf numFmtId="1" fontId="0" fillId="0" borderId="4" xfId="0" applyNumberFormat="1" applyBorder="1">
      <alignment vertical="center"/>
    </xf>
    <xf numFmtId="177" fontId="3" fillId="0" borderId="5" xfId="0" applyNumberFormat="1" applyFont="1" applyBorder="1">
      <alignment vertical="center"/>
    </xf>
    <xf numFmtId="179" fontId="0" fillId="0" borderId="1" xfId="0" applyNumberFormat="1" applyBorder="1">
      <alignment vertical="center"/>
    </xf>
    <xf numFmtId="177" fontId="3" fillId="0" borderId="6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80" fontId="0" fillId="0" borderId="15" xfId="1" applyNumberFormat="1" applyFont="1" applyBorder="1">
      <alignment vertical="center"/>
    </xf>
    <xf numFmtId="180" fontId="0" fillId="0" borderId="9" xfId="1" applyNumberFormat="1" applyFont="1" applyBorder="1">
      <alignment vertical="center"/>
    </xf>
    <xf numFmtId="180" fontId="0" fillId="0" borderId="18" xfId="1" applyNumberFormat="1" applyFont="1" applyBorder="1">
      <alignment vertical="center"/>
    </xf>
    <xf numFmtId="180" fontId="0" fillId="0" borderId="0" xfId="1" applyNumberFormat="1" applyFont="1" applyBorder="1">
      <alignment vertical="center"/>
    </xf>
    <xf numFmtId="180" fontId="0" fillId="0" borderId="1" xfId="1" applyNumberFormat="1" applyFont="1" applyBorder="1">
      <alignment vertical="center"/>
    </xf>
    <xf numFmtId="180" fontId="0" fillId="0" borderId="0" xfId="1" applyNumberFormat="1" applyFont="1">
      <alignment vertical="center"/>
    </xf>
    <xf numFmtId="180" fontId="0" fillId="0" borderId="8" xfId="1" applyNumberFormat="1" applyFont="1" applyBorder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1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79" fontId="0" fillId="0" borderId="9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7" fontId="6" fillId="0" borderId="6" xfId="0" applyNumberFormat="1" applyFont="1" applyBorder="1" applyAlignment="1">
      <alignment horizontal="center" vertical="center"/>
    </xf>
    <xf numFmtId="177" fontId="6" fillId="0" borderId="7" xfId="0" applyNumberFormat="1" applyFont="1" applyBorder="1" applyAlignment="1">
      <alignment horizontal="center" vertical="center"/>
    </xf>
    <xf numFmtId="177" fontId="3" fillId="0" borderId="6" xfId="0" applyNumberFormat="1" applyFont="1" applyBorder="1" applyAlignment="1">
      <alignment horizontal="center" vertical="center"/>
    </xf>
    <xf numFmtId="177" fontId="5" fillId="0" borderId="19" xfId="0" applyNumberFormat="1" applyFont="1" applyBorder="1" applyAlignment="1">
      <alignment horizontal="center" vertical="center"/>
    </xf>
    <xf numFmtId="177" fontId="5" fillId="0" borderId="16" xfId="0" applyNumberFormat="1" applyFont="1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7" fillId="0" borderId="0" xfId="0" applyNumberFormat="1" applyFont="1" applyBorder="1" applyAlignment="1">
      <alignment horizontal="center" vertical="center"/>
    </xf>
    <xf numFmtId="177" fontId="7" fillId="0" borderId="6" xfId="0" applyNumberFormat="1" applyFont="1" applyBorder="1" applyAlignment="1">
      <alignment horizontal="center" vertical="center"/>
    </xf>
    <xf numFmtId="177" fontId="3" fillId="0" borderId="7" xfId="0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177" fontId="3" fillId="0" borderId="15" xfId="0" applyNumberFormat="1" applyFont="1" applyBorder="1" applyAlignment="1">
      <alignment horizontal="center" vertical="center"/>
    </xf>
    <xf numFmtId="177" fontId="4" fillId="0" borderId="16" xfId="0" applyNumberFormat="1" applyFont="1" applyBorder="1" applyAlignment="1">
      <alignment horizontal="center" vertical="center"/>
    </xf>
    <xf numFmtId="177" fontId="4" fillId="0" borderId="17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Age'!$C$56</c:f>
              <c:strCache>
                <c:ptCount val="1"/>
                <c:pt idx="0">
                  <c:v>Infi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Age'!$D$58:$D$65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'By Age'!$B$58:$B$65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'By Age'!$C$58:$C$65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7A-4DD6-8F9F-57DF25CBC4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13708776"/>
        <c:axId val="113709168"/>
      </c:barChart>
      <c:catAx>
        <c:axId val="113708776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709168"/>
        <c:crosses val="autoZero"/>
        <c:auto val="1"/>
        <c:lblAlgn val="ctr"/>
        <c:lblOffset val="100"/>
        <c:noMultiLvlLbl val="0"/>
      </c:catAx>
      <c:valAx>
        <c:axId val="1137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70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Age'!$E$56</c:f>
              <c:strCache>
                <c:ptCount val="1"/>
                <c:pt idx="0">
                  <c:v>NMCT670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Age'!$F$58:$F$65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'By Age'!$B$58:$B$65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'By Age'!$E$58:$E$65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3C-4EE0-B82C-D8E8605D008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12398384"/>
        <c:axId val="112397992"/>
      </c:barChart>
      <c:catAx>
        <c:axId val="112398384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97992"/>
        <c:crosses val="autoZero"/>
        <c:auto val="1"/>
        <c:lblAlgn val="ctr"/>
        <c:lblOffset val="100"/>
        <c:noMultiLvlLbl val="0"/>
      </c:catAx>
      <c:valAx>
        <c:axId val="11239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Age'!$G$56</c:f>
              <c:strCache>
                <c:ptCount val="1"/>
                <c:pt idx="0">
                  <c:v>Sym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Age'!$H$58:$H$65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'By Age'!$B$58:$B$65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'By Age'!$G$58:$G$65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7D-440F-A430-447A7FF003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12397208"/>
        <c:axId val="490948640"/>
      </c:barChart>
      <c:catAx>
        <c:axId val="112397208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0948640"/>
        <c:crosses val="autoZero"/>
        <c:auto val="1"/>
        <c:lblAlgn val="ctr"/>
        <c:lblOffset val="100"/>
        <c:noMultiLvlLbl val="0"/>
      </c:catAx>
      <c:valAx>
        <c:axId val="49094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9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'By Age'!$I$56</c:f>
              <c:strCache>
                <c:ptCount val="1"/>
                <c:pt idx="0">
                  <c:v>NM830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plus"/>
            <c:errValType val="cust"/>
            <c:noEndCap val="0"/>
            <c:plus>
              <c:numRef>
                <c:f>'By Age'!$J$58:$J$65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'By Age'!$B$58:$B$65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'By Age'!$I$58:$I$65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4B-45D6-A0EE-15E34C807A9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90949816"/>
        <c:axId val="490950208"/>
      </c:barChart>
      <c:catAx>
        <c:axId val="490949816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0950208"/>
        <c:crosses val="autoZero"/>
        <c:auto val="1"/>
        <c:lblAlgn val="ctr"/>
        <c:lblOffset val="100"/>
        <c:noMultiLvlLbl val="0"/>
      </c:catAx>
      <c:valAx>
        <c:axId val="4909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094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669948</xdr:colOff>
      <xdr:row>65</xdr:row>
      <xdr:rowOff>177691</xdr:rowOff>
    </xdr:from>
    <xdr:to>
      <xdr:col>6</xdr:col>
      <xdr:colOff>996521</xdr:colOff>
      <xdr:row>82</xdr:row>
      <xdr:rowOff>30414</xdr:rowOff>
    </xdr:to>
    <xdr:graphicFrame macro="">
      <xdr:nvGraphicFramePr>
        <xdr:cNvPr id="4" name="차트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1074962</xdr:colOff>
      <xdr:row>65</xdr:row>
      <xdr:rowOff>163285</xdr:rowOff>
    </xdr:from>
    <xdr:to>
      <xdr:col>13</xdr:col>
      <xdr:colOff>585106</xdr:colOff>
      <xdr:row>82</xdr:row>
      <xdr:rowOff>16008</xdr:rowOff>
    </xdr:to>
    <xdr:graphicFrame macro="">
      <xdr:nvGraphicFramePr>
        <xdr:cNvPr id="5" name="차트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666746</xdr:colOff>
      <xdr:row>82</xdr:row>
      <xdr:rowOff>95250</xdr:rowOff>
    </xdr:from>
    <xdr:to>
      <xdr:col>6</xdr:col>
      <xdr:colOff>993319</xdr:colOff>
      <xdr:row>98</xdr:row>
      <xdr:rowOff>152080</xdr:rowOff>
    </xdr:to>
    <xdr:graphicFrame macro="">
      <xdr:nvGraphicFramePr>
        <xdr:cNvPr id="6" name="차트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1074962</xdr:colOff>
      <xdr:row>82</xdr:row>
      <xdr:rowOff>95250</xdr:rowOff>
    </xdr:from>
    <xdr:to>
      <xdr:col>13</xdr:col>
      <xdr:colOff>585106</xdr:colOff>
      <xdr:row>100</xdr:row>
      <xdr:rowOff>2401</xdr:rowOff>
    </xdr:to>
    <xdr:graphicFrame macro="">
      <xdr:nvGraphicFramePr>
        <xdr:cNvPr id="8" name="차트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179"/>
  <sheetViews>
    <sheetView topLeftCell="D1" zoomScale="70" zoomScaleNormal="70" workbookViewId="0">
      <selection activeCell="F45" sqref="F45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12" customWidth="1"/>
    <col min="21" max="21" width="13.875" bestFit="1" customWidth="1"/>
    <col min="26" max="26" width="12.25" bestFit="1" customWidth="1"/>
    <col min="27" max="27" width="18.375" bestFit="1" customWidth="1"/>
  </cols>
  <sheetData>
    <row r="1" spans="1:29" s="2" customFormat="1" x14ac:dyDescent="0.3">
      <c r="A1" s="83" t="s">
        <v>0</v>
      </c>
      <c r="B1" s="69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9" t="s">
        <v>6</v>
      </c>
      <c r="H1" s="81" t="s">
        <v>10</v>
      </c>
      <c r="I1" s="81"/>
      <c r="J1" s="81"/>
      <c r="K1" s="81"/>
      <c r="L1" s="69" t="s">
        <v>11</v>
      </c>
      <c r="M1" s="71"/>
      <c r="N1" s="71"/>
      <c r="O1" s="79"/>
      <c r="P1" s="81" t="s">
        <v>19</v>
      </c>
      <c r="Q1" s="77" t="s">
        <v>50</v>
      </c>
      <c r="R1" s="81" t="s">
        <v>89</v>
      </c>
      <c r="S1" s="69" t="s">
        <v>56</v>
      </c>
      <c r="T1" s="79" t="s">
        <v>57</v>
      </c>
      <c r="U1" s="77" t="s">
        <v>63</v>
      </c>
    </row>
    <row r="2" spans="1:29" s="2" customFormat="1" ht="17.25" thickBot="1" x14ac:dyDescent="0.35">
      <c r="A2" s="84"/>
      <c r="B2" s="70"/>
      <c r="C2" s="72"/>
      <c r="D2" s="72"/>
      <c r="E2" s="72"/>
      <c r="F2" s="72"/>
      <c r="G2" s="80"/>
      <c r="H2" s="3" t="s">
        <v>7</v>
      </c>
      <c r="I2" s="3" t="s">
        <v>8</v>
      </c>
      <c r="J2" s="3" t="s">
        <v>25</v>
      </c>
      <c r="K2" s="3" t="s">
        <v>9</v>
      </c>
      <c r="L2" s="67" t="s">
        <v>7</v>
      </c>
      <c r="M2" s="3" t="s">
        <v>8</v>
      </c>
      <c r="N2" s="3" t="s">
        <v>25</v>
      </c>
      <c r="O2" s="68" t="s">
        <v>9</v>
      </c>
      <c r="P2" s="72"/>
      <c r="Q2" s="82"/>
      <c r="R2" s="72"/>
      <c r="S2" s="70"/>
      <c r="T2" s="80"/>
      <c r="U2" s="78"/>
      <c r="W2" s="25"/>
      <c r="AC2" s="2">
        <v>32</v>
      </c>
    </row>
    <row r="3" spans="1:29" s="2" customFormat="1" ht="17.25" thickBot="1" x14ac:dyDescent="0.35">
      <c r="A3" s="54"/>
      <c r="B3" s="107"/>
      <c r="C3" s="107"/>
      <c r="D3" s="107"/>
      <c r="E3" s="107"/>
      <c r="F3" s="107"/>
      <c r="G3" s="107"/>
      <c r="P3" s="107"/>
      <c r="Q3" s="107"/>
      <c r="R3" s="107"/>
      <c r="S3" s="107"/>
      <c r="T3" s="107"/>
      <c r="U3" s="107"/>
      <c r="W3" s="25"/>
    </row>
    <row r="4" spans="1:29" x14ac:dyDescent="0.3">
      <c r="A4" s="14"/>
      <c r="B4" s="6"/>
      <c r="C4" s="6"/>
      <c r="D4" s="6"/>
      <c r="E4" s="6"/>
      <c r="F4" s="6"/>
      <c r="G4" s="7"/>
      <c r="H4" s="20"/>
      <c r="I4" s="6" t="s">
        <v>21</v>
      </c>
      <c r="J4" s="6" t="s">
        <v>23</v>
      </c>
      <c r="K4" s="7"/>
      <c r="L4" s="20"/>
      <c r="M4" s="6" t="s">
        <v>22</v>
      </c>
      <c r="N4" s="6" t="s">
        <v>24</v>
      </c>
      <c r="O4" s="7"/>
      <c r="P4" s="7" t="s">
        <v>81</v>
      </c>
      <c r="Q4" s="20"/>
      <c r="R4" s="6"/>
      <c r="S4" s="6"/>
      <c r="T4" s="7"/>
      <c r="U4" s="34" t="s">
        <v>64</v>
      </c>
    </row>
    <row r="5" spans="1:29" x14ac:dyDescent="0.3">
      <c r="A5" s="21"/>
      <c r="B5" s="2"/>
      <c r="C5" s="25" t="s">
        <v>46</v>
      </c>
      <c r="D5" s="2"/>
      <c r="E5" s="2"/>
      <c r="F5" s="2"/>
      <c r="G5" s="11"/>
      <c r="H5" s="18"/>
      <c r="I5" s="10" t="e">
        <f>AVERAGE(#REF!)</f>
        <v>#REF!</v>
      </c>
      <c r="J5" s="10" t="e">
        <f>AVERAGE(#REF!)</f>
        <v>#REF!</v>
      </c>
      <c r="K5" s="15"/>
      <c r="L5" s="19"/>
      <c r="M5" s="10" t="e">
        <f>AVERAGE(#REF!)</f>
        <v>#REF!</v>
      </c>
      <c r="N5" s="10" t="e">
        <f>AVERAGE(#REF!)</f>
        <v>#REF!</v>
      </c>
      <c r="O5" s="11"/>
      <c r="P5" s="15" t="e">
        <f>AVERAGE(#REF!)</f>
        <v>#REF!</v>
      </c>
      <c r="Q5" s="18"/>
      <c r="R5" s="2"/>
      <c r="S5" s="2"/>
      <c r="T5" s="11"/>
      <c r="U5" s="32" t="e">
        <f>AVERAGE(#REF!)</f>
        <v>#REF!</v>
      </c>
    </row>
    <row r="6" spans="1:29" x14ac:dyDescent="0.3">
      <c r="A6" s="21"/>
      <c r="B6" s="2"/>
      <c r="C6" s="2" t="e">
        <f>COUNTIF(#REF!,"M")</f>
        <v>#REF!</v>
      </c>
      <c r="D6" s="2"/>
      <c r="E6" s="2"/>
      <c r="F6" s="2"/>
      <c r="G6" s="11"/>
      <c r="H6" s="18"/>
      <c r="I6" s="2" t="s">
        <v>26</v>
      </c>
      <c r="J6" s="2" t="s">
        <v>36</v>
      </c>
      <c r="K6" s="11"/>
      <c r="L6" s="18"/>
      <c r="M6" s="2" t="s">
        <v>31</v>
      </c>
      <c r="N6" s="2" t="s">
        <v>41</v>
      </c>
      <c r="O6" s="11"/>
      <c r="P6" s="11" t="s">
        <v>82</v>
      </c>
      <c r="Q6" s="18"/>
      <c r="R6" s="10"/>
      <c r="S6" s="2"/>
      <c r="T6" s="11"/>
      <c r="U6" s="32" t="s">
        <v>65</v>
      </c>
    </row>
    <row r="7" spans="1:29" x14ac:dyDescent="0.3">
      <c r="A7" s="21"/>
      <c r="B7" s="2"/>
      <c r="C7" s="25" t="s">
        <v>47</v>
      </c>
      <c r="D7" s="2"/>
      <c r="E7" s="2"/>
      <c r="F7" s="2"/>
      <c r="G7" s="11"/>
      <c r="H7" s="18"/>
      <c r="I7" s="10" t="e">
        <f>_xlfn.STDEV.S(#REF!)</f>
        <v>#REF!</v>
      </c>
      <c r="J7" s="10" t="e">
        <f>_xlfn.STDEV.S(#REF!)</f>
        <v>#REF!</v>
      </c>
      <c r="K7" s="11"/>
      <c r="L7" s="18"/>
      <c r="M7" s="10" t="e">
        <f>_xlfn.STDEV.S(#REF!)</f>
        <v>#REF!</v>
      </c>
      <c r="N7" s="10" t="e">
        <f>_xlfn.STDEV.S(#REF!)</f>
        <v>#REF!</v>
      </c>
      <c r="O7" s="11"/>
      <c r="P7" s="15" t="e">
        <f>_xlfn.STDEV.S(#REF!)</f>
        <v>#REF!</v>
      </c>
      <c r="Q7" s="18"/>
      <c r="R7" s="2"/>
      <c r="S7" s="2"/>
      <c r="T7" s="11"/>
      <c r="U7" s="32" t="e">
        <f>_xlfn.STDEV.S(#REF!)</f>
        <v>#REF!</v>
      </c>
    </row>
    <row r="8" spans="1:29" x14ac:dyDescent="0.3">
      <c r="A8" s="21"/>
      <c r="B8" s="2"/>
      <c r="C8" s="2" t="e">
        <f>COUNTIF(#REF!,"F")</f>
        <v>#REF!</v>
      </c>
      <c r="D8" s="2"/>
      <c r="E8" s="2"/>
      <c r="F8" s="2"/>
      <c r="G8" s="11"/>
      <c r="H8" s="18"/>
      <c r="I8" s="2" t="s">
        <v>27</v>
      </c>
      <c r="J8" s="2" t="s">
        <v>37</v>
      </c>
      <c r="K8" s="11"/>
      <c r="L8" s="18"/>
      <c r="M8" s="2" t="s">
        <v>32</v>
      </c>
      <c r="N8" s="2" t="s">
        <v>42</v>
      </c>
      <c r="O8" s="11"/>
      <c r="P8" s="11" t="s">
        <v>83</v>
      </c>
      <c r="Q8" s="18"/>
      <c r="R8" s="2"/>
      <c r="S8" s="2"/>
      <c r="T8" s="11"/>
      <c r="U8" s="5" t="s">
        <v>66</v>
      </c>
    </row>
    <row r="9" spans="1:29" x14ac:dyDescent="0.3">
      <c r="A9" s="21"/>
      <c r="B9" s="2"/>
      <c r="C9" s="2" t="s">
        <v>59</v>
      </c>
      <c r="D9" s="2"/>
      <c r="E9" s="2"/>
      <c r="F9" s="2"/>
      <c r="G9" s="11"/>
      <c r="H9" s="18"/>
      <c r="I9" s="10" t="e">
        <f>MAX(#REF!)</f>
        <v>#REF!</v>
      </c>
      <c r="J9" s="10" t="e">
        <f>MAX(#REF!)</f>
        <v>#REF!</v>
      </c>
      <c r="K9" s="11"/>
      <c r="L9" s="18"/>
      <c r="M9" s="10" t="e">
        <f>MAX(#REF!)</f>
        <v>#REF!</v>
      </c>
      <c r="N9" s="10" t="e">
        <f>MAX(#REF!)</f>
        <v>#REF!</v>
      </c>
      <c r="O9" s="11"/>
      <c r="P9" s="15" t="e">
        <f>MAX(#REF!)</f>
        <v>#REF!</v>
      </c>
      <c r="Q9" s="18"/>
      <c r="R9" s="2"/>
      <c r="S9" s="2"/>
      <c r="T9" s="11"/>
      <c r="U9" s="32" t="e">
        <f>MAX(#REF!)</f>
        <v>#REF!</v>
      </c>
    </row>
    <row r="10" spans="1:29" x14ac:dyDescent="0.3">
      <c r="A10" s="21"/>
      <c r="B10" s="2"/>
      <c r="C10" s="2" t="e">
        <f>IF(COUNTA(#REF!)=C6+C8,C6+C8,"MISTAKE!")</f>
        <v>#REF!</v>
      </c>
      <c r="D10" s="2"/>
      <c r="E10" s="2"/>
      <c r="F10" s="2"/>
      <c r="G10" s="11"/>
      <c r="H10" s="18"/>
      <c r="I10" s="2" t="s">
        <v>28</v>
      </c>
      <c r="J10" s="2" t="s">
        <v>38</v>
      </c>
      <c r="K10" s="11"/>
      <c r="L10" s="18"/>
      <c r="M10" s="2" t="s">
        <v>33</v>
      </c>
      <c r="N10" s="2" t="s">
        <v>43</v>
      </c>
      <c r="O10" s="11"/>
      <c r="P10" s="11" t="s">
        <v>84</v>
      </c>
      <c r="Q10" s="18"/>
      <c r="R10" s="2"/>
      <c r="S10" s="2"/>
      <c r="T10" s="11"/>
      <c r="U10" s="5" t="s">
        <v>67</v>
      </c>
    </row>
    <row r="11" spans="1:29" x14ac:dyDescent="0.3">
      <c r="A11" s="21"/>
      <c r="B11" s="2"/>
      <c r="C11" s="2"/>
      <c r="D11" s="2"/>
      <c r="E11" s="2"/>
      <c r="F11" s="2"/>
      <c r="G11" s="11"/>
      <c r="H11" s="46" t="e">
        <f>COUNTIF(#REF!,I11)/C10</f>
        <v>#REF!</v>
      </c>
      <c r="I11" s="10" t="e">
        <f>_xlfn.MODE.SNGL(#REF!)</f>
        <v>#REF!</v>
      </c>
      <c r="J11" s="10" t="e">
        <f>_xlfn.MODE.SNGL(#REF!)</f>
        <v>#REF!</v>
      </c>
      <c r="K11" s="47" t="e">
        <f>COUNTIF(#REF!,J11)/C10</f>
        <v>#REF!</v>
      </c>
      <c r="L11" s="46" t="e">
        <f>COUNTIF(#REF!,M11)/C10</f>
        <v>#REF!</v>
      </c>
      <c r="M11" s="10" t="e">
        <f>_xlfn.MODE.SNGL(#REF!)</f>
        <v>#REF!</v>
      </c>
      <c r="N11" s="10" t="e">
        <f>_xlfn.MODE.SNGL(#REF!)</f>
        <v>#REF!</v>
      </c>
      <c r="O11" s="47" t="e">
        <f>COUNTIF(#REF!,N11)/C10</f>
        <v>#REF!</v>
      </c>
      <c r="P11" s="15" t="e">
        <f>_xlfn.MODE.SNGL(#REF!)</f>
        <v>#REF!</v>
      </c>
      <c r="R11" s="2"/>
      <c r="S11" s="2"/>
      <c r="T11" s="11"/>
      <c r="U11" s="32" t="e">
        <f>_xlfn.MODE.SNGL(#REF!)</f>
        <v>#REF!</v>
      </c>
    </row>
    <row r="12" spans="1:29" x14ac:dyDescent="0.3">
      <c r="A12" s="21"/>
      <c r="B12" s="2"/>
      <c r="C12" s="2"/>
      <c r="D12" s="2"/>
      <c r="E12" s="2"/>
      <c r="F12" s="2"/>
      <c r="G12" s="11"/>
      <c r="H12" s="18"/>
      <c r="I12" s="2" t="s">
        <v>29</v>
      </c>
      <c r="J12" s="2" t="s">
        <v>39</v>
      </c>
      <c r="K12" s="11"/>
      <c r="L12" s="18"/>
      <c r="M12" s="2" t="s">
        <v>34</v>
      </c>
      <c r="N12" s="2" t="s">
        <v>44</v>
      </c>
      <c r="O12" s="11"/>
      <c r="P12" s="11" t="s">
        <v>85</v>
      </c>
      <c r="Q12" s="18"/>
      <c r="R12" s="2"/>
      <c r="S12" s="2"/>
      <c r="T12" s="11"/>
      <c r="U12" s="5" t="s">
        <v>68</v>
      </c>
    </row>
    <row r="13" spans="1:29" x14ac:dyDescent="0.3">
      <c r="A13" s="21"/>
      <c r="B13" s="2"/>
      <c r="C13" s="2"/>
      <c r="D13" s="2"/>
      <c r="E13" s="2"/>
      <c r="F13" s="2"/>
      <c r="G13" s="11"/>
      <c r="H13" s="18"/>
      <c r="I13" s="10" t="e">
        <f>MEDIAN(#REF!)</f>
        <v>#REF!</v>
      </c>
      <c r="J13" s="10" t="e">
        <f>MEDIAN(#REF!)</f>
        <v>#REF!</v>
      </c>
      <c r="K13" s="11"/>
      <c r="L13" s="18"/>
      <c r="M13" s="10" t="e">
        <f>MEDIAN(#REF!)</f>
        <v>#REF!</v>
      </c>
      <c r="N13" s="10" t="e">
        <f>MEDIAN(#REF!)</f>
        <v>#REF!</v>
      </c>
      <c r="O13" s="11"/>
      <c r="P13" s="15" t="e">
        <f>MEDIAN(#REF!)</f>
        <v>#REF!</v>
      </c>
      <c r="Q13" s="18"/>
      <c r="R13" s="2"/>
      <c r="S13" s="2"/>
      <c r="T13" s="11"/>
      <c r="U13" s="32" t="e">
        <f>MEDIAN(#REF!)</f>
        <v>#REF!</v>
      </c>
    </row>
    <row r="14" spans="1:29" x14ac:dyDescent="0.3">
      <c r="A14" s="21"/>
      <c r="B14" s="2"/>
      <c r="C14" s="2"/>
      <c r="D14" s="2"/>
      <c r="E14" s="2"/>
      <c r="F14" s="2"/>
      <c r="G14" s="11"/>
      <c r="H14" s="18"/>
      <c r="I14" s="2" t="s">
        <v>30</v>
      </c>
      <c r="J14" s="2" t="s">
        <v>40</v>
      </c>
      <c r="K14" s="11"/>
      <c r="L14" s="18"/>
      <c r="M14" s="2" t="s">
        <v>35</v>
      </c>
      <c r="N14" s="2" t="s">
        <v>45</v>
      </c>
      <c r="O14" s="11"/>
      <c r="P14" s="11" t="s">
        <v>86</v>
      </c>
      <c r="Q14" s="18"/>
      <c r="R14" s="2"/>
      <c r="S14" s="2"/>
      <c r="T14" s="11"/>
      <c r="U14" s="5" t="s">
        <v>69</v>
      </c>
    </row>
    <row r="15" spans="1:29" ht="17.25" thickBot="1" x14ac:dyDescent="0.35">
      <c r="A15" s="22"/>
      <c r="B15" s="3"/>
      <c r="C15" s="3"/>
      <c r="D15" s="3"/>
      <c r="E15" s="3"/>
      <c r="F15" s="3"/>
      <c r="G15" s="8"/>
      <c r="H15" s="17"/>
      <c r="I15" s="13" t="e">
        <f>MIN(#REF!)</f>
        <v>#REF!</v>
      </c>
      <c r="J15" s="13" t="e">
        <f>MIN(#REF!)</f>
        <v>#REF!</v>
      </c>
      <c r="K15" s="8"/>
      <c r="L15" s="17"/>
      <c r="M15" s="13" t="e">
        <f>MIN(#REF!)</f>
        <v>#REF!</v>
      </c>
      <c r="N15" s="13" t="e">
        <f>MIN(#REF!)</f>
        <v>#REF!</v>
      </c>
      <c r="O15" s="8"/>
      <c r="P15" s="16" t="e">
        <f>MIN(#REF!)</f>
        <v>#REF!</v>
      </c>
      <c r="Q15" s="17"/>
      <c r="R15" s="3"/>
      <c r="S15" s="3"/>
      <c r="T15" s="8"/>
      <c r="U15" s="33" t="e">
        <f>MIN(#REF!)</f>
        <v>#REF!</v>
      </c>
    </row>
    <row r="20" spans="1:18" ht="17.25" thickBot="1" x14ac:dyDescent="0.35"/>
    <row r="21" spans="1:18" x14ac:dyDescent="0.3">
      <c r="A21" s="2"/>
      <c r="B21" s="73" t="s">
        <v>49</v>
      </c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</row>
    <row r="22" spans="1:18" ht="21" thickBot="1" x14ac:dyDescent="0.35">
      <c r="A22" s="65"/>
      <c r="B22" s="75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</row>
    <row r="23" spans="1:18" ht="17.25" thickBot="1" x14ac:dyDescent="0.35">
      <c r="A23" s="2"/>
      <c r="B23" s="66"/>
      <c r="C23" s="23"/>
      <c r="D23" s="23" t="s">
        <v>77</v>
      </c>
      <c r="E23" s="23" t="s">
        <v>20</v>
      </c>
      <c r="F23" s="23"/>
      <c r="G23" s="23"/>
      <c r="H23" s="23"/>
      <c r="I23" s="23" t="s">
        <v>21</v>
      </c>
      <c r="J23" s="23" t="s">
        <v>26</v>
      </c>
      <c r="K23" s="23"/>
      <c r="L23" s="23"/>
      <c r="M23" s="23" t="s">
        <v>22</v>
      </c>
      <c r="N23" s="23" t="s">
        <v>48</v>
      </c>
      <c r="O23" s="23"/>
      <c r="P23" s="23" t="s">
        <v>81</v>
      </c>
      <c r="Q23" s="23" t="s">
        <v>82</v>
      </c>
      <c r="R23" s="23"/>
    </row>
    <row r="24" spans="1:18" x14ac:dyDescent="0.3">
      <c r="A24" s="2"/>
      <c r="B24" s="18"/>
      <c r="C24" s="2"/>
      <c r="D24" s="2" t="s">
        <v>78</v>
      </c>
      <c r="E24" s="2" t="e">
        <f>COUNTIFS(#REF!,"&lt;20")</f>
        <v>#REF!</v>
      </c>
      <c r="F24" s="2"/>
      <c r="G24" s="2"/>
      <c r="H24" s="2"/>
      <c r="I24" s="10" t="e">
        <f>AVERAGEIFS(#REF!,#REF!,"&lt;20")</f>
        <v>#REF!</v>
      </c>
      <c r="J24" s="10" t="e">
        <f t="array" ref="J24">_xlfn.STDEV.S(IF(#REF!&lt;20,#REF!))</f>
        <v>#REF!</v>
      </c>
      <c r="K24" s="10"/>
      <c r="L24" s="2"/>
      <c r="M24" s="10" t="e">
        <f>AVERAGEIFS(#REF!,#REF!,"&lt;20")</f>
        <v>#REF!</v>
      </c>
      <c r="N24" s="10" t="e">
        <f t="array" ref="N24">_xlfn.STDEV.S(IF(#REF!&lt;20,#REF!))</f>
        <v>#REF!</v>
      </c>
      <c r="O24" s="2"/>
      <c r="P24" s="10" t="e">
        <f>AVERAGEIFS(#REF!,#REF!,"&lt;20")</f>
        <v>#REF!</v>
      </c>
      <c r="Q24" s="10" t="e">
        <f t="array" ref="Q24">_xlfn.STDEV.S(IF(#REF!&lt;20,#REF!))</f>
        <v>#REF!</v>
      </c>
      <c r="R24" s="2"/>
    </row>
    <row r="25" spans="1:18" x14ac:dyDescent="0.3">
      <c r="A25" s="2"/>
      <c r="B25" s="18"/>
      <c r="C25" s="2"/>
      <c r="D25" s="2" t="s">
        <v>13</v>
      </c>
      <c r="E25" s="2" t="e">
        <f>COUNTIFS(#REF!,"&gt;=20",#REF!,"&lt;30")</f>
        <v>#REF!</v>
      </c>
      <c r="F25" s="2"/>
      <c r="G25" s="2"/>
      <c r="H25" s="2"/>
      <c r="I25" s="10" t="e">
        <f>AVERAGEIFS(#REF!,#REF!,"&gt;=20",#REF!,"&lt;30")</f>
        <v>#REF!</v>
      </c>
      <c r="J25" s="10" t="e">
        <f t="array" ref="J25">_xlfn.STDEV.S(IF(#REF!&gt;=20,IF(#REF!&lt;30,#REF!)))</f>
        <v>#REF!</v>
      </c>
      <c r="K25" s="10"/>
      <c r="L25" s="2"/>
      <c r="M25" s="10" t="e">
        <f>AVERAGEIFS(#REF!,#REF!,"&gt;=20",#REF!,"&lt;30")</f>
        <v>#REF!</v>
      </c>
      <c r="N25" s="10" t="e">
        <f t="array" ref="N25">_xlfn.STDEV.S(IF(#REF!&gt;=20,IF(#REF!&lt;30,#REF!)))</f>
        <v>#REF!</v>
      </c>
      <c r="O25" s="2"/>
      <c r="P25" s="10" t="e">
        <f>AVERAGEIFS(#REF!,#REF!,"&gt;=20",#REF!,"&lt;30")</f>
        <v>#REF!</v>
      </c>
      <c r="Q25" s="10" t="e">
        <f t="array" ref="Q25">_xlfn.STDEV.S(IF(#REF!&gt;=20,IF(#REF!&lt;30,#REF!)))</f>
        <v>#REF!</v>
      </c>
      <c r="R25" s="2"/>
    </row>
    <row r="26" spans="1:18" x14ac:dyDescent="0.3">
      <c r="A26" s="2"/>
      <c r="B26" s="18"/>
      <c r="C26" s="2"/>
      <c r="D26" s="2" t="s">
        <v>14</v>
      </c>
      <c r="E26" s="2" t="e">
        <f>COUNTIFS(#REF!,"&gt;=30",#REF!,"&lt;40")</f>
        <v>#REF!</v>
      </c>
      <c r="F26" s="2"/>
      <c r="G26" s="2"/>
      <c r="H26" s="2"/>
      <c r="I26" s="10" t="e">
        <f>AVERAGEIFS(#REF!,#REF!,"&gt;=30",#REF!,"&lt;40")</f>
        <v>#REF!</v>
      </c>
      <c r="J26" s="10" t="e">
        <f t="array" ref="J26">_xlfn.STDEV.S(IF(#REF!&gt;=30,IF(#REF!&lt;40,#REF!)))</f>
        <v>#REF!</v>
      </c>
      <c r="K26" s="10"/>
      <c r="L26" s="2"/>
      <c r="M26" s="10" t="e">
        <f>AVERAGEIFS(#REF!,#REF!,"&gt;=30",#REF!,"&lt;40")</f>
        <v>#REF!</v>
      </c>
      <c r="N26" s="10" t="e">
        <f t="array" ref="N26">_xlfn.STDEV.S(IF(#REF!&gt;=30,IF(#REF!&lt;40,#REF!)))</f>
        <v>#REF!</v>
      </c>
      <c r="O26" s="2"/>
      <c r="P26" s="10" t="e">
        <f>AVERAGEIFS(#REF!,#REF!,"&gt;=30",#REF!,"&lt;40")</f>
        <v>#REF!</v>
      </c>
      <c r="Q26" s="10" t="e">
        <f t="array" ref="Q26">_xlfn.STDEV.S(IF(#REF!&gt;=30,IF(#REF!&lt;40,#REF!)))</f>
        <v>#REF!</v>
      </c>
      <c r="R26" s="2"/>
    </row>
    <row r="27" spans="1:18" x14ac:dyDescent="0.3">
      <c r="A27" s="2"/>
      <c r="B27" s="18"/>
      <c r="C27" s="2"/>
      <c r="D27" s="2" t="s">
        <v>15</v>
      </c>
      <c r="E27" s="2" t="e">
        <f>COUNTIFS(#REF!,"&gt;=40",#REF!,"&lt;50")</f>
        <v>#REF!</v>
      </c>
      <c r="F27" s="2"/>
      <c r="G27" s="2"/>
      <c r="H27" s="2"/>
      <c r="I27" s="10" t="e">
        <f>AVERAGEIFS(#REF!,#REF!,"&gt;=40",#REF!,"&lt;50")</f>
        <v>#REF!</v>
      </c>
      <c r="J27" s="10" t="e">
        <f t="array" ref="J27">_xlfn.STDEV.S(IF(#REF!&gt;=40,IF(#REF!&lt;50,#REF!)))</f>
        <v>#REF!</v>
      </c>
      <c r="K27" s="10"/>
      <c r="L27" s="2"/>
      <c r="M27" s="10" t="e">
        <f>AVERAGEIFS(#REF!,#REF!,"&gt;=40",#REF!,"&lt;50")</f>
        <v>#REF!</v>
      </c>
      <c r="N27" s="10" t="e">
        <f t="array" ref="N27">_xlfn.STDEV.S(IF(#REF!&gt;=40,IF(#REF!&lt;50,#REF!)))</f>
        <v>#REF!</v>
      </c>
      <c r="O27" s="2"/>
      <c r="P27" s="10" t="e">
        <f>AVERAGEIFS(#REF!,#REF!,"&gt;=40",#REF!,"&lt;50")</f>
        <v>#REF!</v>
      </c>
      <c r="Q27" s="10" t="e">
        <f t="array" ref="Q27">_xlfn.STDEV.S(IF(#REF!&gt;=40,IF(#REF!&lt;50,#REF!)))</f>
        <v>#REF!</v>
      </c>
      <c r="R27" s="2"/>
    </row>
    <row r="28" spans="1:18" x14ac:dyDescent="0.3">
      <c r="A28" s="2"/>
      <c r="B28" s="18"/>
      <c r="C28" s="2"/>
      <c r="D28" s="2" t="s">
        <v>16</v>
      </c>
      <c r="E28" s="2" t="e">
        <f>COUNTIFS(#REF!,"&gt;=50",#REF!,"&lt;60")</f>
        <v>#REF!</v>
      </c>
      <c r="F28" s="2"/>
      <c r="G28" s="2"/>
      <c r="H28" s="2"/>
      <c r="I28" s="10" t="e">
        <f>AVERAGEIFS(#REF!,#REF!,"&gt;=50",#REF!,"&lt;60")</f>
        <v>#REF!</v>
      </c>
      <c r="J28" s="10" t="e">
        <f t="array" ref="J28">_xlfn.STDEV.S(IF(#REF!&gt;=50,IF(#REF!&lt;60,#REF!)))</f>
        <v>#REF!</v>
      </c>
      <c r="K28" s="10"/>
      <c r="L28" s="2"/>
      <c r="M28" s="10" t="e">
        <f>AVERAGEIFS(#REF!,#REF!,"&gt;=50",#REF!,"&lt;60")</f>
        <v>#REF!</v>
      </c>
      <c r="N28" s="10" t="e">
        <f t="array" ref="N28">_xlfn.STDEV.S(IF(#REF!&gt;=50,IF(#REF!&lt;60,#REF!)))</f>
        <v>#REF!</v>
      </c>
      <c r="O28" s="2"/>
      <c r="P28" s="10" t="e">
        <f>AVERAGEIFS(#REF!,#REF!,"&gt;=50",#REF!,"&lt;60")</f>
        <v>#REF!</v>
      </c>
      <c r="Q28" s="10" t="e">
        <f t="array" ref="Q28">_xlfn.STDEV.S(IF(#REF!&gt;=50,IF(#REF!&lt;60,#REF!)))</f>
        <v>#REF!</v>
      </c>
      <c r="R28" s="2"/>
    </row>
    <row r="29" spans="1:18" x14ac:dyDescent="0.3">
      <c r="A29" s="2"/>
      <c r="B29" s="18"/>
      <c r="C29" s="2"/>
      <c r="D29" s="2" t="s">
        <v>17</v>
      </c>
      <c r="E29" s="2" t="e">
        <f>COUNTIFS(#REF!,"&gt;=60",#REF!,"&lt;70")</f>
        <v>#REF!</v>
      </c>
      <c r="F29" s="2"/>
      <c r="G29" s="2"/>
      <c r="H29" s="2"/>
      <c r="I29" s="10" t="e">
        <f>AVERAGEIFS(#REF!,#REF!,"&gt;=60",#REF!,"&lt;70")</f>
        <v>#REF!</v>
      </c>
      <c r="J29" s="10" t="e">
        <f t="array" ref="J29">_xlfn.STDEV.S(IF(#REF!&gt;=60,IF(#REF!&lt;70,#REF!)))</f>
        <v>#REF!</v>
      </c>
      <c r="K29" s="10"/>
      <c r="L29" s="2"/>
      <c r="M29" s="10" t="e">
        <f>AVERAGEIFS(#REF!,#REF!,"&gt;=60",#REF!,"&lt;70")</f>
        <v>#REF!</v>
      </c>
      <c r="N29" s="10" t="e">
        <f t="array" ref="N29">_xlfn.STDEV.S(IF(#REF!&gt;=60,IF(#REF!&lt;70,#REF!)))</f>
        <v>#REF!</v>
      </c>
      <c r="O29" s="2"/>
      <c r="P29" s="10" t="e">
        <f>AVERAGEIFS(#REF!,#REF!,"&gt;=60",#REF!,"&lt;70")</f>
        <v>#REF!</v>
      </c>
      <c r="Q29" s="10" t="e">
        <f t="array" ref="Q29">_xlfn.STDEV.S(IF(#REF!&gt;=60,IF(#REF!&lt;70,#REF!)))</f>
        <v>#REF!</v>
      </c>
      <c r="R29" s="2"/>
    </row>
    <row r="30" spans="1:18" x14ac:dyDescent="0.3">
      <c r="A30" s="2"/>
      <c r="B30" s="18"/>
      <c r="C30" s="2"/>
      <c r="D30" s="2" t="s">
        <v>18</v>
      </c>
      <c r="E30" s="2" t="e">
        <f>COUNTIFS(#REF!,"&gt;=70",#REF!,"&lt;80")</f>
        <v>#REF!</v>
      </c>
      <c r="F30" s="2"/>
      <c r="G30" s="2"/>
      <c r="H30" s="2"/>
      <c r="I30" s="10" t="e">
        <f>AVERAGEIFS(#REF!,#REF!,"&gt;=70",#REF!,"&lt;80")</f>
        <v>#REF!</v>
      </c>
      <c r="J30" s="10" t="e">
        <f t="array" ref="J30">_xlfn.STDEV.S(IF(#REF!&gt;=70,IF(#REF!&lt;80,#REF!)))</f>
        <v>#REF!</v>
      </c>
      <c r="K30" s="10"/>
      <c r="L30" s="2"/>
      <c r="M30" s="10" t="e">
        <f>AVERAGEIFS(#REF!,#REF!,"&gt;=70",#REF!,"&lt;80")</f>
        <v>#REF!</v>
      </c>
      <c r="N30" s="10" t="e">
        <f t="array" ref="N30">_xlfn.STDEV.S(IF(#REF!&gt;=70,IF(#REF!&lt;80,#REF!)))</f>
        <v>#REF!</v>
      </c>
      <c r="O30" s="2"/>
      <c r="P30" s="10" t="e">
        <f>AVERAGEIFS(#REF!,#REF!,"&gt;=70",#REF!,"&lt;80")</f>
        <v>#REF!</v>
      </c>
      <c r="Q30" s="10" t="e">
        <f t="array" ref="Q30">_xlfn.STDEV.S(IF(#REF!&gt;=70,IF(#REF!&lt;80,#REF!)))</f>
        <v>#REF!</v>
      </c>
      <c r="R30" s="2"/>
    </row>
    <row r="31" spans="1:18" ht="17.25" thickBot="1" x14ac:dyDescent="0.35">
      <c r="A31" s="2"/>
      <c r="B31" s="18"/>
      <c r="C31" s="2"/>
      <c r="D31" s="2" t="s">
        <v>79</v>
      </c>
      <c r="E31" s="2" t="e">
        <f>COUNTIFS(#REF!,"&gt;=80")</f>
        <v>#REF!</v>
      </c>
      <c r="F31" s="2"/>
      <c r="G31" s="2"/>
      <c r="H31" s="2"/>
      <c r="I31" s="10" t="e">
        <f>AVERAGEIFS(#REF!,#REF!,"&gt;=80")</f>
        <v>#REF!</v>
      </c>
      <c r="J31" s="10" t="e">
        <f t="array" ref="J31">_xlfn.STDEV.S(IF(#REF!&gt;=80,#REF!))</f>
        <v>#REF!</v>
      </c>
      <c r="K31" s="10"/>
      <c r="L31" s="2"/>
      <c r="M31" s="10" t="e">
        <f>AVERAGEIFS(#REF!,#REF!,"&gt;=80")</f>
        <v>#REF!</v>
      </c>
      <c r="N31" s="10" t="e">
        <f t="array" ref="N31">_xlfn.STDEV.S(IF(#REF!&gt;=80,#REF!))</f>
        <v>#REF!</v>
      </c>
      <c r="O31" s="2"/>
      <c r="P31" s="10" t="e">
        <f>AVERAGEIFS(#REF!,#REF!,"&gt;=80")</f>
        <v>#REF!</v>
      </c>
      <c r="Q31" s="10" t="e">
        <f t="array" ref="Q31">_xlfn.STDEV.S(IF(#REF!&gt;=80,#REF!))</f>
        <v>#REF!</v>
      </c>
      <c r="R31" s="2"/>
    </row>
    <row r="32" spans="1:18" ht="17.25" thickBot="1" x14ac:dyDescent="0.35">
      <c r="A32" s="2"/>
      <c r="B32" s="66"/>
      <c r="C32" s="23"/>
      <c r="D32" s="23" t="s">
        <v>12</v>
      </c>
      <c r="E32" s="23" t="e">
        <f>SUM(E24:E31)</f>
        <v>#REF!</v>
      </c>
      <c r="F32" s="23"/>
      <c r="G32" s="23"/>
      <c r="H32" s="23"/>
      <c r="I32" s="24" t="e">
        <f>AVERAGE(#REF!)</f>
        <v>#REF!</v>
      </c>
      <c r="J32" s="24" t="e">
        <f>_xlfn.STDEV.S(#REF!)</f>
        <v>#REF!</v>
      </c>
      <c r="K32" s="23"/>
      <c r="L32" s="23"/>
      <c r="M32" s="24" t="e">
        <f>AVERAGE(#REF!)</f>
        <v>#REF!</v>
      </c>
      <c r="N32" s="24" t="e">
        <f>_xlfn.STDEV.S(#REF!)</f>
        <v>#REF!</v>
      </c>
      <c r="O32" s="23"/>
      <c r="P32" s="24" t="e">
        <f>AVERAGE(#REF!)</f>
        <v>#REF!</v>
      </c>
      <c r="Q32" s="24" t="e">
        <f>_xlfn.STDEV.S(#REF!)</f>
        <v>#REF!</v>
      </c>
      <c r="R32" s="24"/>
    </row>
    <row r="33" spans="9:9" x14ac:dyDescent="0.3">
      <c r="I33" s="1"/>
    </row>
    <row r="205" ht="16.5" customHeight="1" x14ac:dyDescent="0.3"/>
    <row r="206" ht="17.25" customHeight="1" x14ac:dyDescent="0.3"/>
    <row r="684" ht="17.100000000000001" customHeight="1" x14ac:dyDescent="0.3"/>
    <row r="685" ht="17.45" customHeight="1" x14ac:dyDescent="0.3"/>
    <row r="2178" spans="22:22" ht="17.25" thickBot="1" x14ac:dyDescent="0.35"/>
    <row r="2179" spans="22:22" ht="17.25" thickBot="1" x14ac:dyDescent="0.35">
      <c r="V2179" s="48" t="e">
        <f>COUNTIF(#REF!,U$11)/C$10</f>
        <v>#REF!</v>
      </c>
    </row>
  </sheetData>
  <mergeCells count="16">
    <mergeCell ref="S1:S2"/>
    <mergeCell ref="T1:T2"/>
    <mergeCell ref="U1:U2"/>
    <mergeCell ref="B21:R22"/>
    <mergeCell ref="G1:G2"/>
    <mergeCell ref="H1:K1"/>
    <mergeCell ref="L1:O1"/>
    <mergeCell ref="P1:P2"/>
    <mergeCell ref="Q1:Q2"/>
    <mergeCell ref="R1:R2"/>
    <mergeCell ref="A1:A2"/>
    <mergeCell ref="B1:B2"/>
    <mergeCell ref="C1:C2"/>
    <mergeCell ref="D1:D2"/>
    <mergeCell ref="E1:E2"/>
    <mergeCell ref="F1:F2"/>
  </mergeCells>
  <phoneticPr fontId="1" type="noConversion"/>
  <conditionalFormatting sqref="W4:W191">
    <cfRule type="duplicateValues" dxfId="5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2179"/>
  <sheetViews>
    <sheetView zoomScale="85" zoomScaleNormal="85" workbookViewId="0">
      <pane xSplit="1" ySplit="2" topLeftCell="I3" activePane="bottomRight" state="frozen"/>
      <selection pane="topRight" activeCell="B1" sqref="B1"/>
      <selection pane="bottomLeft" activeCell="A3" sqref="A3"/>
      <selection pane="bottomRight" activeCell="P48" sqref="A1:XFD1048576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12" customWidth="1"/>
    <col min="21" max="21" width="13.875" bestFit="1" customWidth="1"/>
    <col min="26" max="26" width="12.25" bestFit="1" customWidth="1"/>
    <col min="27" max="27" width="18.375" bestFit="1" customWidth="1"/>
  </cols>
  <sheetData>
    <row r="1" spans="1:29" s="2" customFormat="1" x14ac:dyDescent="0.3">
      <c r="A1" s="83" t="s">
        <v>0</v>
      </c>
      <c r="B1" s="69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9" t="s">
        <v>6</v>
      </c>
      <c r="H1" s="81" t="s">
        <v>10</v>
      </c>
      <c r="I1" s="81"/>
      <c r="J1" s="81"/>
      <c r="K1" s="81"/>
      <c r="L1" s="69" t="s">
        <v>11</v>
      </c>
      <c r="M1" s="71"/>
      <c r="N1" s="71"/>
      <c r="O1" s="79"/>
      <c r="P1" s="81" t="s">
        <v>19</v>
      </c>
      <c r="Q1" s="77" t="s">
        <v>50</v>
      </c>
      <c r="R1" s="81" t="s">
        <v>89</v>
      </c>
      <c r="S1" s="69" t="s">
        <v>56</v>
      </c>
      <c r="T1" s="79" t="s">
        <v>57</v>
      </c>
      <c r="U1" s="77" t="s">
        <v>63</v>
      </c>
    </row>
    <row r="2" spans="1:29" s="2" customFormat="1" ht="17.25" thickBot="1" x14ac:dyDescent="0.35">
      <c r="A2" s="84"/>
      <c r="B2" s="70"/>
      <c r="C2" s="72"/>
      <c r="D2" s="72"/>
      <c r="E2" s="72"/>
      <c r="F2" s="72"/>
      <c r="G2" s="80"/>
      <c r="H2" s="3" t="s">
        <v>7</v>
      </c>
      <c r="I2" s="3" t="s">
        <v>8</v>
      </c>
      <c r="J2" s="3" t="s">
        <v>25</v>
      </c>
      <c r="K2" s="3" t="s">
        <v>9</v>
      </c>
      <c r="L2" s="67" t="s">
        <v>7</v>
      </c>
      <c r="M2" s="3" t="s">
        <v>8</v>
      </c>
      <c r="N2" s="3" t="s">
        <v>25</v>
      </c>
      <c r="O2" s="68" t="s">
        <v>9</v>
      </c>
      <c r="P2" s="72"/>
      <c r="Q2" s="82"/>
      <c r="R2" s="72"/>
      <c r="S2" s="70"/>
      <c r="T2" s="80"/>
      <c r="U2" s="78"/>
      <c r="W2" s="25"/>
      <c r="AC2" s="2">
        <v>32</v>
      </c>
    </row>
    <row r="3" spans="1:29" s="2" customFormat="1" ht="17.25" thickBot="1" x14ac:dyDescent="0.35">
      <c r="A3" s="54"/>
      <c r="B3" s="107"/>
      <c r="C3" s="107"/>
      <c r="D3" s="107"/>
      <c r="E3" s="107"/>
      <c r="F3" s="107"/>
      <c r="G3" s="107"/>
      <c r="P3" s="107"/>
      <c r="Q3" s="107"/>
      <c r="R3" s="107"/>
      <c r="S3" s="107"/>
      <c r="T3" s="107"/>
      <c r="U3" s="107"/>
      <c r="W3" s="25"/>
    </row>
    <row r="4" spans="1:29" x14ac:dyDescent="0.3">
      <c r="A4" s="14"/>
      <c r="B4" s="6"/>
      <c r="C4" s="6"/>
      <c r="D4" s="6"/>
      <c r="E4" s="6"/>
      <c r="F4" s="6"/>
      <c r="G4" s="7"/>
      <c r="H4" s="20"/>
      <c r="I4" s="6" t="s">
        <v>21</v>
      </c>
      <c r="J4" s="6" t="s">
        <v>23</v>
      </c>
      <c r="K4" s="7"/>
      <c r="L4" s="20"/>
      <c r="M4" s="6" t="s">
        <v>22</v>
      </c>
      <c r="N4" s="6" t="s">
        <v>24</v>
      </c>
      <c r="O4" s="7"/>
      <c r="P4" s="7" t="s">
        <v>81</v>
      </c>
      <c r="Q4" s="20"/>
      <c r="R4" s="6"/>
      <c r="S4" s="6"/>
      <c r="T4" s="7"/>
      <c r="U4" s="34" t="s">
        <v>64</v>
      </c>
    </row>
    <row r="5" spans="1:29" x14ac:dyDescent="0.3">
      <c r="A5" s="21"/>
      <c r="B5" s="2"/>
      <c r="C5" s="25" t="s">
        <v>46</v>
      </c>
      <c r="D5" s="2"/>
      <c r="E5" s="2"/>
      <c r="F5" s="2"/>
      <c r="G5" s="11"/>
      <c r="H5" s="18"/>
      <c r="I5" s="10" t="e">
        <f>AVERAGE(#REF!)</f>
        <v>#REF!</v>
      </c>
      <c r="J5" s="10" t="e">
        <f>AVERAGE(#REF!)</f>
        <v>#REF!</v>
      </c>
      <c r="K5" s="15"/>
      <c r="L5" s="19"/>
      <c r="M5" s="10" t="e">
        <f>AVERAGE(#REF!)</f>
        <v>#REF!</v>
      </c>
      <c r="N5" s="10" t="e">
        <f>AVERAGE(#REF!)</f>
        <v>#REF!</v>
      </c>
      <c r="O5" s="11"/>
      <c r="P5" s="15" t="e">
        <f>AVERAGE(#REF!)</f>
        <v>#REF!</v>
      </c>
      <c r="Q5" s="18"/>
      <c r="R5" s="2"/>
      <c r="S5" s="2"/>
      <c r="T5" s="11"/>
      <c r="U5" s="32" t="e">
        <f>AVERAGE(#REF!)</f>
        <v>#REF!</v>
      </c>
    </row>
    <row r="6" spans="1:29" x14ac:dyDescent="0.3">
      <c r="A6" s="21"/>
      <c r="B6" s="2"/>
      <c r="C6" s="2" t="e">
        <f>COUNTIF(#REF!,"M")</f>
        <v>#REF!</v>
      </c>
      <c r="D6" s="2"/>
      <c r="E6" s="2"/>
      <c r="F6" s="2"/>
      <c r="G6" s="11"/>
      <c r="H6" s="18"/>
      <c r="I6" s="2" t="s">
        <v>26</v>
      </c>
      <c r="J6" s="2" t="s">
        <v>36</v>
      </c>
      <c r="K6" s="11"/>
      <c r="L6" s="18"/>
      <c r="M6" s="2" t="s">
        <v>31</v>
      </c>
      <c r="N6" s="2" t="s">
        <v>41</v>
      </c>
      <c r="O6" s="11"/>
      <c r="P6" s="11" t="s">
        <v>82</v>
      </c>
      <c r="Q6" s="18"/>
      <c r="R6" s="10"/>
      <c r="S6" s="2"/>
      <c r="T6" s="11"/>
      <c r="U6" s="32" t="s">
        <v>65</v>
      </c>
    </row>
    <row r="7" spans="1:29" x14ac:dyDescent="0.3">
      <c r="A7" s="21"/>
      <c r="B7" s="2"/>
      <c r="C7" s="25" t="s">
        <v>47</v>
      </c>
      <c r="D7" s="2"/>
      <c r="E7" s="2"/>
      <c r="F7" s="2"/>
      <c r="G7" s="11"/>
      <c r="H7" s="18"/>
      <c r="I7" s="10" t="e">
        <f>_xlfn.STDEV.S(#REF!)</f>
        <v>#REF!</v>
      </c>
      <c r="J7" s="10" t="e">
        <f>_xlfn.STDEV.S(#REF!)</f>
        <v>#REF!</v>
      </c>
      <c r="K7" s="11"/>
      <c r="L7" s="18"/>
      <c r="M7" s="10" t="e">
        <f>_xlfn.STDEV.S(#REF!)</f>
        <v>#REF!</v>
      </c>
      <c r="N7" s="10" t="e">
        <f>_xlfn.STDEV.S(#REF!)</f>
        <v>#REF!</v>
      </c>
      <c r="O7" s="11"/>
      <c r="P7" s="15" t="e">
        <f>_xlfn.STDEV.S(#REF!)</f>
        <v>#REF!</v>
      </c>
      <c r="Q7" s="18"/>
      <c r="R7" s="2"/>
      <c r="S7" s="2"/>
      <c r="T7" s="11"/>
      <c r="U7" s="32" t="e">
        <f>_xlfn.STDEV.S(#REF!)</f>
        <v>#REF!</v>
      </c>
    </row>
    <row r="8" spans="1:29" x14ac:dyDescent="0.3">
      <c r="A8" s="21"/>
      <c r="B8" s="2"/>
      <c r="C8" s="2" t="e">
        <f>COUNTIF(#REF!,"F")</f>
        <v>#REF!</v>
      </c>
      <c r="D8" s="2"/>
      <c r="E8" s="2"/>
      <c r="F8" s="2"/>
      <c r="G8" s="11"/>
      <c r="H8" s="18"/>
      <c r="I8" s="2" t="s">
        <v>27</v>
      </c>
      <c r="J8" s="2" t="s">
        <v>37</v>
      </c>
      <c r="K8" s="11"/>
      <c r="L8" s="18"/>
      <c r="M8" s="2" t="s">
        <v>32</v>
      </c>
      <c r="N8" s="2" t="s">
        <v>42</v>
      </c>
      <c r="O8" s="11"/>
      <c r="P8" s="11" t="s">
        <v>83</v>
      </c>
      <c r="Q8" s="18"/>
      <c r="R8" s="2"/>
      <c r="S8" s="2"/>
      <c r="T8" s="11"/>
      <c r="U8" s="5" t="s">
        <v>66</v>
      </c>
    </row>
    <row r="9" spans="1:29" x14ac:dyDescent="0.3">
      <c r="A9" s="21"/>
      <c r="B9" s="2"/>
      <c r="C9" s="2" t="s">
        <v>59</v>
      </c>
      <c r="D9" s="2"/>
      <c r="E9" s="2"/>
      <c r="F9" s="2"/>
      <c r="G9" s="11"/>
      <c r="H9" s="18"/>
      <c r="I9" s="10" t="e">
        <f>MAX(#REF!)</f>
        <v>#REF!</v>
      </c>
      <c r="J9" s="10" t="e">
        <f>MAX(#REF!)</f>
        <v>#REF!</v>
      </c>
      <c r="K9" s="11"/>
      <c r="L9" s="18"/>
      <c r="M9" s="10" t="e">
        <f>MAX(#REF!)</f>
        <v>#REF!</v>
      </c>
      <c r="N9" s="10" t="e">
        <f>MAX(#REF!)</f>
        <v>#REF!</v>
      </c>
      <c r="O9" s="11"/>
      <c r="P9" s="15" t="e">
        <f>MAX(#REF!)</f>
        <v>#REF!</v>
      </c>
      <c r="Q9" s="18"/>
      <c r="R9" s="2"/>
      <c r="S9" s="2"/>
      <c r="T9" s="11"/>
      <c r="U9" s="32" t="e">
        <f>MAX(#REF!)</f>
        <v>#REF!</v>
      </c>
    </row>
    <row r="10" spans="1:29" x14ac:dyDescent="0.3">
      <c r="A10" s="21"/>
      <c r="B10" s="2"/>
      <c r="C10" s="2" t="e">
        <f>IF(COUNTA(#REF!)=C6+C8,C6+C8,"MISTAKE!")</f>
        <v>#REF!</v>
      </c>
      <c r="D10" s="2"/>
      <c r="E10" s="2"/>
      <c r="F10" s="2"/>
      <c r="G10" s="11"/>
      <c r="H10" s="18"/>
      <c r="I10" s="2" t="s">
        <v>28</v>
      </c>
      <c r="J10" s="2" t="s">
        <v>38</v>
      </c>
      <c r="K10" s="11"/>
      <c r="L10" s="18"/>
      <c r="M10" s="2" t="s">
        <v>33</v>
      </c>
      <c r="N10" s="2" t="s">
        <v>43</v>
      </c>
      <c r="O10" s="11"/>
      <c r="P10" s="11" t="s">
        <v>84</v>
      </c>
      <c r="Q10" s="18"/>
      <c r="R10" s="2"/>
      <c r="S10" s="2"/>
      <c r="T10" s="11"/>
      <c r="U10" s="5" t="s">
        <v>67</v>
      </c>
    </row>
    <row r="11" spans="1:29" x14ac:dyDescent="0.3">
      <c r="A11" s="21"/>
      <c r="B11" s="2"/>
      <c r="C11" s="2"/>
      <c r="D11" s="2"/>
      <c r="E11" s="2"/>
      <c r="F11" s="2"/>
      <c r="G11" s="11"/>
      <c r="H11" s="46" t="e">
        <f>COUNTIF(#REF!,I11)/C10</f>
        <v>#REF!</v>
      </c>
      <c r="I11" s="10" t="e">
        <f>_xlfn.MODE.SNGL(#REF!)</f>
        <v>#REF!</v>
      </c>
      <c r="J11" s="10" t="e">
        <f>_xlfn.MODE.SNGL(#REF!)</f>
        <v>#REF!</v>
      </c>
      <c r="K11" s="47" t="e">
        <f>COUNTIF(#REF!,J11)/C10</f>
        <v>#REF!</v>
      </c>
      <c r="L11" s="46" t="e">
        <f>COUNTIF(#REF!,M11)/C10</f>
        <v>#REF!</v>
      </c>
      <c r="M11" s="10" t="e">
        <f>_xlfn.MODE.SNGL(#REF!)</f>
        <v>#REF!</v>
      </c>
      <c r="N11" s="10" t="e">
        <f>_xlfn.MODE.SNGL(#REF!)</f>
        <v>#REF!</v>
      </c>
      <c r="O11" s="47" t="e">
        <f>COUNTIF(#REF!,N11)/C10</f>
        <v>#REF!</v>
      </c>
      <c r="P11" s="15" t="e">
        <f>_xlfn.MODE.SNGL(#REF!)</f>
        <v>#REF!</v>
      </c>
      <c r="R11" s="2"/>
      <c r="S11" s="2"/>
      <c r="T11" s="11"/>
      <c r="U11" s="32" t="e">
        <f>_xlfn.MODE.SNGL(#REF!)</f>
        <v>#REF!</v>
      </c>
    </row>
    <row r="12" spans="1:29" x14ac:dyDescent="0.3">
      <c r="A12" s="21"/>
      <c r="B12" s="2"/>
      <c r="C12" s="2"/>
      <c r="D12" s="2"/>
      <c r="E12" s="2"/>
      <c r="F12" s="2"/>
      <c r="G12" s="11"/>
      <c r="H12" s="18"/>
      <c r="I12" s="2" t="s">
        <v>29</v>
      </c>
      <c r="J12" s="2" t="s">
        <v>39</v>
      </c>
      <c r="K12" s="11"/>
      <c r="L12" s="18"/>
      <c r="M12" s="2" t="s">
        <v>34</v>
      </c>
      <c r="N12" s="2" t="s">
        <v>44</v>
      </c>
      <c r="O12" s="11"/>
      <c r="P12" s="11" t="s">
        <v>85</v>
      </c>
      <c r="Q12" s="18"/>
      <c r="R12" s="2"/>
      <c r="S12" s="2"/>
      <c r="T12" s="11"/>
      <c r="U12" s="5" t="s">
        <v>68</v>
      </c>
    </row>
    <row r="13" spans="1:29" x14ac:dyDescent="0.3">
      <c r="A13" s="21"/>
      <c r="B13" s="2"/>
      <c r="C13" s="2"/>
      <c r="D13" s="2"/>
      <c r="E13" s="2"/>
      <c r="F13" s="2"/>
      <c r="G13" s="11"/>
      <c r="H13" s="18"/>
      <c r="I13" s="10" t="e">
        <f>MEDIAN(#REF!)</f>
        <v>#REF!</v>
      </c>
      <c r="J13" s="10" t="e">
        <f>MEDIAN(#REF!)</f>
        <v>#REF!</v>
      </c>
      <c r="K13" s="11"/>
      <c r="L13" s="18"/>
      <c r="M13" s="10" t="e">
        <f>MEDIAN(#REF!)</f>
        <v>#REF!</v>
      </c>
      <c r="N13" s="10" t="e">
        <f>MEDIAN(#REF!)</f>
        <v>#REF!</v>
      </c>
      <c r="O13" s="11"/>
      <c r="P13" s="15" t="e">
        <f>MEDIAN(#REF!)</f>
        <v>#REF!</v>
      </c>
      <c r="Q13" s="18"/>
      <c r="R13" s="2"/>
      <c r="S13" s="2"/>
      <c r="T13" s="11"/>
      <c r="U13" s="32" t="e">
        <f>MEDIAN(#REF!)</f>
        <v>#REF!</v>
      </c>
    </row>
    <row r="14" spans="1:29" x14ac:dyDescent="0.3">
      <c r="A14" s="21"/>
      <c r="B14" s="2"/>
      <c r="C14" s="2"/>
      <c r="D14" s="2"/>
      <c r="E14" s="2"/>
      <c r="F14" s="2"/>
      <c r="G14" s="11"/>
      <c r="H14" s="18"/>
      <c r="I14" s="2" t="s">
        <v>30</v>
      </c>
      <c r="J14" s="2" t="s">
        <v>40</v>
      </c>
      <c r="K14" s="11"/>
      <c r="L14" s="18"/>
      <c r="M14" s="2" t="s">
        <v>35</v>
      </c>
      <c r="N14" s="2" t="s">
        <v>45</v>
      </c>
      <c r="O14" s="11"/>
      <c r="P14" s="11" t="s">
        <v>86</v>
      </c>
      <c r="Q14" s="18"/>
      <c r="R14" s="2"/>
      <c r="S14" s="2"/>
      <c r="T14" s="11"/>
      <c r="U14" s="5" t="s">
        <v>69</v>
      </c>
    </row>
    <row r="15" spans="1:29" ht="17.25" thickBot="1" x14ac:dyDescent="0.35">
      <c r="A15" s="22"/>
      <c r="B15" s="3"/>
      <c r="C15" s="3"/>
      <c r="D15" s="3"/>
      <c r="E15" s="3"/>
      <c r="F15" s="3"/>
      <c r="G15" s="8"/>
      <c r="H15" s="17"/>
      <c r="I15" s="13" t="e">
        <f>MIN(#REF!)</f>
        <v>#REF!</v>
      </c>
      <c r="J15" s="13" t="e">
        <f>MIN(#REF!)</f>
        <v>#REF!</v>
      </c>
      <c r="K15" s="8"/>
      <c r="L15" s="17"/>
      <c r="M15" s="13" t="e">
        <f>MIN(#REF!)</f>
        <v>#REF!</v>
      </c>
      <c r="N15" s="13" t="e">
        <f>MIN(#REF!)</f>
        <v>#REF!</v>
      </c>
      <c r="O15" s="8"/>
      <c r="P15" s="16" t="e">
        <f>MIN(#REF!)</f>
        <v>#REF!</v>
      </c>
      <c r="Q15" s="17"/>
      <c r="R15" s="3"/>
      <c r="S15" s="3"/>
      <c r="T15" s="8"/>
      <c r="U15" s="33" t="e">
        <f>MIN(#REF!)</f>
        <v>#REF!</v>
      </c>
    </row>
    <row r="20" spans="1:18" ht="17.25" thickBot="1" x14ac:dyDescent="0.35"/>
    <row r="21" spans="1:18" x14ac:dyDescent="0.3">
      <c r="A21" s="2"/>
      <c r="B21" s="73" t="s">
        <v>49</v>
      </c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</row>
    <row r="22" spans="1:18" ht="21" thickBot="1" x14ac:dyDescent="0.35">
      <c r="A22" s="65"/>
      <c r="B22" s="75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</row>
    <row r="23" spans="1:18" ht="17.25" thickBot="1" x14ac:dyDescent="0.35">
      <c r="A23" s="2"/>
      <c r="B23" s="66"/>
      <c r="C23" s="23"/>
      <c r="D23" s="23" t="s">
        <v>77</v>
      </c>
      <c r="E23" s="23" t="s">
        <v>20</v>
      </c>
      <c r="F23" s="23"/>
      <c r="G23" s="23"/>
      <c r="H23" s="23"/>
      <c r="I23" s="23" t="s">
        <v>21</v>
      </c>
      <c r="J23" s="23" t="s">
        <v>26</v>
      </c>
      <c r="K23" s="23"/>
      <c r="L23" s="23"/>
      <c r="M23" s="23" t="s">
        <v>22</v>
      </c>
      <c r="N23" s="23" t="s">
        <v>48</v>
      </c>
      <c r="O23" s="23"/>
      <c r="P23" s="23" t="s">
        <v>81</v>
      </c>
      <c r="Q23" s="23" t="s">
        <v>82</v>
      </c>
      <c r="R23" s="23"/>
    </row>
    <row r="24" spans="1:18" x14ac:dyDescent="0.3">
      <c r="A24" s="2"/>
      <c r="B24" s="18"/>
      <c r="C24" s="2"/>
      <c r="D24" s="2" t="s">
        <v>78</v>
      </c>
      <c r="E24" s="2" t="e">
        <f>COUNTIFS(#REF!,"&lt;20")</f>
        <v>#REF!</v>
      </c>
      <c r="F24" s="2"/>
      <c r="G24" s="2"/>
      <c r="H24" s="2"/>
      <c r="I24" s="10" t="e">
        <f>AVERAGEIFS(#REF!,#REF!,"&lt;20")</f>
        <v>#REF!</v>
      </c>
      <c r="J24" s="10" t="e">
        <f t="array" ref="J24">_xlfn.STDEV.S(IF(#REF!&lt;20,#REF!))</f>
        <v>#REF!</v>
      </c>
      <c r="K24" s="10"/>
      <c r="L24" s="2"/>
      <c r="M24" s="10" t="e">
        <f>AVERAGEIFS(#REF!,#REF!,"&lt;20")</f>
        <v>#REF!</v>
      </c>
      <c r="N24" s="10" t="e">
        <f t="array" ref="N24">_xlfn.STDEV.S(IF(#REF!&lt;20,#REF!))</f>
        <v>#REF!</v>
      </c>
      <c r="O24" s="2"/>
      <c r="P24" s="10" t="e">
        <f>AVERAGEIFS(#REF!,#REF!,"&lt;20")</f>
        <v>#REF!</v>
      </c>
      <c r="Q24" s="10" t="e">
        <f t="array" ref="Q24">_xlfn.STDEV.S(IF(#REF!&lt;20,#REF!))</f>
        <v>#REF!</v>
      </c>
      <c r="R24" s="2"/>
    </row>
    <row r="25" spans="1:18" x14ac:dyDescent="0.3">
      <c r="A25" s="2"/>
      <c r="B25" s="18"/>
      <c r="C25" s="2"/>
      <c r="D25" s="2" t="s">
        <v>13</v>
      </c>
      <c r="E25" s="2" t="e">
        <f>COUNTIFS(#REF!,"&gt;=20",#REF!,"&lt;30")</f>
        <v>#REF!</v>
      </c>
      <c r="F25" s="2"/>
      <c r="G25" s="2"/>
      <c r="H25" s="2"/>
      <c r="I25" s="10" t="e">
        <f>AVERAGEIFS(#REF!,#REF!,"&gt;=20",#REF!,"&lt;30")</f>
        <v>#REF!</v>
      </c>
      <c r="J25" s="10" t="e">
        <f t="array" ref="J25">_xlfn.STDEV.S(IF(#REF!&gt;=20,IF(#REF!&lt;30,#REF!)))</f>
        <v>#REF!</v>
      </c>
      <c r="K25" s="10"/>
      <c r="L25" s="2"/>
      <c r="M25" s="10" t="e">
        <f>AVERAGEIFS(#REF!,#REF!,"&gt;=20",#REF!,"&lt;30")</f>
        <v>#REF!</v>
      </c>
      <c r="N25" s="10" t="e">
        <f t="array" ref="N25">_xlfn.STDEV.S(IF(#REF!&gt;=20,IF(#REF!&lt;30,#REF!)))</f>
        <v>#REF!</v>
      </c>
      <c r="O25" s="2"/>
      <c r="P25" s="10" t="e">
        <f>AVERAGEIFS(#REF!,#REF!,"&gt;=20",#REF!,"&lt;30")</f>
        <v>#REF!</v>
      </c>
      <c r="Q25" s="10" t="e">
        <f t="array" ref="Q25">_xlfn.STDEV.S(IF(#REF!&gt;=20,IF(#REF!&lt;30,#REF!)))</f>
        <v>#REF!</v>
      </c>
      <c r="R25" s="2"/>
    </row>
    <row r="26" spans="1:18" x14ac:dyDescent="0.3">
      <c r="A26" s="2"/>
      <c r="B26" s="18"/>
      <c r="C26" s="2"/>
      <c r="D26" s="2" t="s">
        <v>14</v>
      </c>
      <c r="E26" s="2" t="e">
        <f>COUNTIFS(#REF!,"&gt;=30",#REF!,"&lt;40")</f>
        <v>#REF!</v>
      </c>
      <c r="F26" s="2"/>
      <c r="G26" s="2"/>
      <c r="H26" s="2"/>
      <c r="I26" s="10" t="e">
        <f>AVERAGEIFS(#REF!,#REF!,"&gt;=30",#REF!,"&lt;40")</f>
        <v>#REF!</v>
      </c>
      <c r="J26" s="10" t="e">
        <f t="array" ref="J26">_xlfn.STDEV.S(IF(#REF!&gt;=30,IF(#REF!&lt;40,#REF!)))</f>
        <v>#REF!</v>
      </c>
      <c r="K26" s="10"/>
      <c r="L26" s="2"/>
      <c r="M26" s="10" t="e">
        <f>AVERAGEIFS(#REF!,#REF!,"&gt;=30",#REF!,"&lt;40")</f>
        <v>#REF!</v>
      </c>
      <c r="N26" s="10" t="e">
        <f t="array" ref="N26">_xlfn.STDEV.S(IF(#REF!&gt;=30,IF(#REF!&lt;40,#REF!)))</f>
        <v>#REF!</v>
      </c>
      <c r="O26" s="2"/>
      <c r="P26" s="10" t="e">
        <f>AVERAGEIFS(#REF!,#REF!,"&gt;=30",#REF!,"&lt;40")</f>
        <v>#REF!</v>
      </c>
      <c r="Q26" s="10" t="e">
        <f t="array" ref="Q26">_xlfn.STDEV.S(IF(#REF!&gt;=30,IF(#REF!&lt;40,#REF!)))</f>
        <v>#REF!</v>
      </c>
      <c r="R26" s="2"/>
    </row>
    <row r="27" spans="1:18" x14ac:dyDescent="0.3">
      <c r="A27" s="2"/>
      <c r="B27" s="18"/>
      <c r="C27" s="2"/>
      <c r="D27" s="2" t="s">
        <v>15</v>
      </c>
      <c r="E27" s="2" t="e">
        <f>COUNTIFS(#REF!,"&gt;=40",#REF!,"&lt;50")</f>
        <v>#REF!</v>
      </c>
      <c r="F27" s="2"/>
      <c r="G27" s="2"/>
      <c r="H27" s="2"/>
      <c r="I27" s="10" t="e">
        <f>AVERAGEIFS(#REF!,#REF!,"&gt;=40",#REF!,"&lt;50")</f>
        <v>#REF!</v>
      </c>
      <c r="J27" s="10" t="e">
        <f t="array" ref="J27">_xlfn.STDEV.S(IF(#REF!&gt;=40,IF(#REF!&lt;50,#REF!)))</f>
        <v>#REF!</v>
      </c>
      <c r="K27" s="10"/>
      <c r="L27" s="2"/>
      <c r="M27" s="10" t="e">
        <f>AVERAGEIFS(#REF!,#REF!,"&gt;=40",#REF!,"&lt;50")</f>
        <v>#REF!</v>
      </c>
      <c r="N27" s="10" t="e">
        <f t="array" ref="N27">_xlfn.STDEV.S(IF(#REF!&gt;=40,IF(#REF!&lt;50,#REF!)))</f>
        <v>#REF!</v>
      </c>
      <c r="O27" s="2"/>
      <c r="P27" s="10" t="e">
        <f>AVERAGEIFS(#REF!,#REF!,"&gt;=40",#REF!,"&lt;50")</f>
        <v>#REF!</v>
      </c>
      <c r="Q27" s="10" t="e">
        <f t="array" ref="Q27">_xlfn.STDEV.S(IF(#REF!&gt;=40,IF(#REF!&lt;50,#REF!)))</f>
        <v>#REF!</v>
      </c>
      <c r="R27" s="2"/>
    </row>
    <row r="28" spans="1:18" x14ac:dyDescent="0.3">
      <c r="A28" s="2"/>
      <c r="B28" s="18"/>
      <c r="C28" s="2"/>
      <c r="D28" s="2" t="s">
        <v>16</v>
      </c>
      <c r="E28" s="2" t="e">
        <f>COUNTIFS(#REF!,"&gt;=50",#REF!,"&lt;60")</f>
        <v>#REF!</v>
      </c>
      <c r="F28" s="2"/>
      <c r="G28" s="2"/>
      <c r="H28" s="2"/>
      <c r="I28" s="10" t="e">
        <f>AVERAGEIFS(#REF!,#REF!,"&gt;=50",#REF!,"&lt;60")</f>
        <v>#REF!</v>
      </c>
      <c r="J28" s="10" t="e">
        <f t="array" ref="J28">_xlfn.STDEV.S(IF(#REF!&gt;=50,IF(#REF!&lt;60,#REF!)))</f>
        <v>#REF!</v>
      </c>
      <c r="K28" s="10"/>
      <c r="L28" s="2"/>
      <c r="M28" s="10" t="e">
        <f>AVERAGEIFS(#REF!,#REF!,"&gt;=50",#REF!,"&lt;60")</f>
        <v>#REF!</v>
      </c>
      <c r="N28" s="10" t="e">
        <f t="array" ref="N28">_xlfn.STDEV.S(IF(#REF!&gt;=50,IF(#REF!&lt;60,#REF!)))</f>
        <v>#REF!</v>
      </c>
      <c r="O28" s="2"/>
      <c r="P28" s="10" t="e">
        <f>AVERAGEIFS(#REF!,#REF!,"&gt;=50",#REF!,"&lt;60")</f>
        <v>#REF!</v>
      </c>
      <c r="Q28" s="10" t="e">
        <f t="array" ref="Q28">_xlfn.STDEV.S(IF(#REF!&gt;=50,IF(#REF!&lt;60,#REF!)))</f>
        <v>#REF!</v>
      </c>
      <c r="R28" s="2"/>
    </row>
    <row r="29" spans="1:18" x14ac:dyDescent="0.3">
      <c r="A29" s="2"/>
      <c r="B29" s="18"/>
      <c r="C29" s="2"/>
      <c r="D29" s="2" t="s">
        <v>17</v>
      </c>
      <c r="E29" s="2" t="e">
        <f>COUNTIFS(#REF!,"&gt;=60",#REF!,"&lt;70")</f>
        <v>#REF!</v>
      </c>
      <c r="F29" s="2"/>
      <c r="G29" s="2"/>
      <c r="H29" s="2"/>
      <c r="I29" s="10" t="e">
        <f>AVERAGEIFS(#REF!,#REF!,"&gt;=60",#REF!,"&lt;70")</f>
        <v>#REF!</v>
      </c>
      <c r="J29" s="10" t="e">
        <f t="array" ref="J29">_xlfn.STDEV.S(IF(#REF!&gt;=60,IF(#REF!&lt;70,#REF!)))</f>
        <v>#REF!</v>
      </c>
      <c r="K29" s="10"/>
      <c r="L29" s="2"/>
      <c r="M29" s="10" t="e">
        <f>AVERAGEIFS(#REF!,#REF!,"&gt;=60",#REF!,"&lt;70")</f>
        <v>#REF!</v>
      </c>
      <c r="N29" s="10" t="e">
        <f t="array" ref="N29">_xlfn.STDEV.S(IF(#REF!&gt;=60,IF(#REF!&lt;70,#REF!)))</f>
        <v>#REF!</v>
      </c>
      <c r="O29" s="2"/>
      <c r="P29" s="10" t="e">
        <f>AVERAGEIFS(#REF!,#REF!,"&gt;=60",#REF!,"&lt;70")</f>
        <v>#REF!</v>
      </c>
      <c r="Q29" s="10" t="e">
        <f t="array" ref="Q29">_xlfn.STDEV.S(IF(#REF!&gt;=60,IF(#REF!&lt;70,#REF!)))</f>
        <v>#REF!</v>
      </c>
      <c r="R29" s="2"/>
    </row>
    <row r="30" spans="1:18" x14ac:dyDescent="0.3">
      <c r="A30" s="2"/>
      <c r="B30" s="18"/>
      <c r="C30" s="2"/>
      <c r="D30" s="2" t="s">
        <v>18</v>
      </c>
      <c r="E30" s="2" t="e">
        <f>COUNTIFS(#REF!,"&gt;=70",#REF!,"&lt;80")</f>
        <v>#REF!</v>
      </c>
      <c r="F30" s="2"/>
      <c r="G30" s="2"/>
      <c r="H30" s="2"/>
      <c r="I30" s="10" t="e">
        <f>AVERAGEIFS(#REF!,#REF!,"&gt;=70",#REF!,"&lt;80")</f>
        <v>#REF!</v>
      </c>
      <c r="J30" s="10" t="e">
        <f t="array" ref="J30">_xlfn.STDEV.S(IF(#REF!&gt;=70,IF(#REF!&lt;80,#REF!)))</f>
        <v>#REF!</v>
      </c>
      <c r="K30" s="10"/>
      <c r="L30" s="2"/>
      <c r="M30" s="10" t="e">
        <f>AVERAGEIFS(#REF!,#REF!,"&gt;=70",#REF!,"&lt;80")</f>
        <v>#REF!</v>
      </c>
      <c r="N30" s="10" t="e">
        <f t="array" ref="N30">_xlfn.STDEV.S(IF(#REF!&gt;=70,IF(#REF!&lt;80,#REF!)))</f>
        <v>#REF!</v>
      </c>
      <c r="O30" s="2"/>
      <c r="P30" s="10" t="e">
        <f>AVERAGEIFS(#REF!,#REF!,"&gt;=70",#REF!,"&lt;80")</f>
        <v>#REF!</v>
      </c>
      <c r="Q30" s="10" t="e">
        <f t="array" ref="Q30">_xlfn.STDEV.S(IF(#REF!&gt;=70,IF(#REF!&lt;80,#REF!)))</f>
        <v>#REF!</v>
      </c>
      <c r="R30" s="2"/>
    </row>
    <row r="31" spans="1:18" ht="17.25" thickBot="1" x14ac:dyDescent="0.35">
      <c r="A31" s="2"/>
      <c r="B31" s="18"/>
      <c r="C31" s="2"/>
      <c r="D31" s="2" t="s">
        <v>79</v>
      </c>
      <c r="E31" s="2" t="e">
        <f>COUNTIFS(#REF!,"&gt;=80")</f>
        <v>#REF!</v>
      </c>
      <c r="F31" s="2"/>
      <c r="G31" s="2"/>
      <c r="H31" s="2"/>
      <c r="I31" s="10" t="e">
        <f>AVERAGEIFS(#REF!,#REF!,"&gt;=80")</f>
        <v>#REF!</v>
      </c>
      <c r="J31" s="10" t="e">
        <f t="array" ref="J31">_xlfn.STDEV.S(IF(#REF!&gt;=80,#REF!))</f>
        <v>#REF!</v>
      </c>
      <c r="K31" s="10"/>
      <c r="L31" s="2"/>
      <c r="M31" s="10" t="e">
        <f>AVERAGEIFS(#REF!,#REF!,"&gt;=80")</f>
        <v>#REF!</v>
      </c>
      <c r="N31" s="10" t="e">
        <f t="array" ref="N31">_xlfn.STDEV.S(IF(#REF!&gt;=80,#REF!))</f>
        <v>#REF!</v>
      </c>
      <c r="O31" s="2"/>
      <c r="P31" s="10" t="e">
        <f>AVERAGEIFS(#REF!,#REF!,"&gt;=80")</f>
        <v>#REF!</v>
      </c>
      <c r="Q31" s="10" t="e">
        <f t="array" ref="Q31">_xlfn.STDEV.S(IF(#REF!&gt;=80,#REF!))</f>
        <v>#REF!</v>
      </c>
      <c r="R31" s="2"/>
    </row>
    <row r="32" spans="1:18" ht="17.25" thickBot="1" x14ac:dyDescent="0.35">
      <c r="A32" s="2"/>
      <c r="B32" s="66"/>
      <c r="C32" s="23"/>
      <c r="D32" s="23" t="s">
        <v>12</v>
      </c>
      <c r="E32" s="23" t="e">
        <f>SUM(E24:E31)</f>
        <v>#REF!</v>
      </c>
      <c r="F32" s="23"/>
      <c r="G32" s="23"/>
      <c r="H32" s="23"/>
      <c r="I32" s="24" t="e">
        <f>AVERAGE(#REF!)</f>
        <v>#REF!</v>
      </c>
      <c r="J32" s="24" t="e">
        <f>_xlfn.STDEV.S(#REF!)</f>
        <v>#REF!</v>
      </c>
      <c r="K32" s="23"/>
      <c r="L32" s="23"/>
      <c r="M32" s="24" t="e">
        <f>AVERAGE(#REF!)</f>
        <v>#REF!</v>
      </c>
      <c r="N32" s="24" t="e">
        <f>_xlfn.STDEV.S(#REF!)</f>
        <v>#REF!</v>
      </c>
      <c r="O32" s="23"/>
      <c r="P32" s="24" t="e">
        <f>AVERAGE(#REF!)</f>
        <v>#REF!</v>
      </c>
      <c r="Q32" s="24" t="e">
        <f>_xlfn.STDEV.S(#REF!)</f>
        <v>#REF!</v>
      </c>
      <c r="R32" s="24"/>
    </row>
    <row r="33" spans="9:9" x14ac:dyDescent="0.3">
      <c r="I33" s="1"/>
    </row>
    <row r="205" ht="16.5" customHeight="1" x14ac:dyDescent="0.3"/>
    <row r="206" ht="17.25" customHeight="1" x14ac:dyDescent="0.3"/>
    <row r="684" ht="17.100000000000001" customHeight="1" x14ac:dyDescent="0.3"/>
    <row r="685" ht="17.45" customHeight="1" x14ac:dyDescent="0.3"/>
    <row r="2178" spans="22:22" ht="17.25" thickBot="1" x14ac:dyDescent="0.35"/>
    <row r="2179" spans="22:22" ht="17.25" thickBot="1" x14ac:dyDescent="0.35">
      <c r="V2179" s="48" t="e">
        <f>COUNTIF(#REF!,U$11)/C$10</f>
        <v>#REF!</v>
      </c>
    </row>
  </sheetData>
  <sortState ref="A3:X2171">
    <sortCondition ref="F3:F2171"/>
  </sortState>
  <mergeCells count="16">
    <mergeCell ref="B21:R22"/>
    <mergeCell ref="U1:U2"/>
    <mergeCell ref="S1:S2"/>
    <mergeCell ref="T1:T2"/>
    <mergeCell ref="G1:G2"/>
    <mergeCell ref="H1:K1"/>
    <mergeCell ref="L1:O1"/>
    <mergeCell ref="P1:P2"/>
    <mergeCell ref="Q1:Q2"/>
    <mergeCell ref="R1:R2"/>
    <mergeCell ref="F1:F2"/>
    <mergeCell ref="A1:A2"/>
    <mergeCell ref="B1:B2"/>
    <mergeCell ref="C1:C2"/>
    <mergeCell ref="D1:D2"/>
    <mergeCell ref="E1:E2"/>
  </mergeCells>
  <phoneticPr fontId="1" type="noConversion"/>
  <conditionalFormatting sqref="W4:W191">
    <cfRule type="duplicateValues" dxfId="6" priority="1007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179"/>
  <sheetViews>
    <sheetView zoomScale="70" zoomScaleNormal="70" workbookViewId="0">
      <selection activeCell="E25" sqref="E25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12" customWidth="1"/>
    <col min="21" max="21" width="13.875" bestFit="1" customWidth="1"/>
    <col min="26" max="26" width="12.25" bestFit="1" customWidth="1"/>
    <col min="27" max="27" width="18.375" bestFit="1" customWidth="1"/>
  </cols>
  <sheetData>
    <row r="1" spans="1:29" s="2" customFormat="1" x14ac:dyDescent="0.3">
      <c r="A1" s="83" t="s">
        <v>0</v>
      </c>
      <c r="B1" s="69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9" t="s">
        <v>6</v>
      </c>
      <c r="H1" s="81" t="s">
        <v>10</v>
      </c>
      <c r="I1" s="81"/>
      <c r="J1" s="81"/>
      <c r="K1" s="81"/>
      <c r="L1" s="69" t="s">
        <v>11</v>
      </c>
      <c r="M1" s="71"/>
      <c r="N1" s="71"/>
      <c r="O1" s="79"/>
      <c r="P1" s="81" t="s">
        <v>19</v>
      </c>
      <c r="Q1" s="77" t="s">
        <v>50</v>
      </c>
      <c r="R1" s="81" t="s">
        <v>89</v>
      </c>
      <c r="S1" s="69" t="s">
        <v>56</v>
      </c>
      <c r="T1" s="79" t="s">
        <v>57</v>
      </c>
      <c r="U1" s="77" t="s">
        <v>63</v>
      </c>
    </row>
    <row r="2" spans="1:29" s="2" customFormat="1" ht="17.25" thickBot="1" x14ac:dyDescent="0.35">
      <c r="A2" s="84"/>
      <c r="B2" s="70"/>
      <c r="C2" s="72"/>
      <c r="D2" s="72"/>
      <c r="E2" s="72"/>
      <c r="F2" s="72"/>
      <c r="G2" s="80"/>
      <c r="H2" s="3" t="s">
        <v>7</v>
      </c>
      <c r="I2" s="3" t="s">
        <v>8</v>
      </c>
      <c r="J2" s="3" t="s">
        <v>25</v>
      </c>
      <c r="K2" s="3" t="s">
        <v>9</v>
      </c>
      <c r="L2" s="67" t="s">
        <v>7</v>
      </c>
      <c r="M2" s="3" t="s">
        <v>8</v>
      </c>
      <c r="N2" s="3" t="s">
        <v>25</v>
      </c>
      <c r="O2" s="68" t="s">
        <v>9</v>
      </c>
      <c r="P2" s="72"/>
      <c r="Q2" s="82"/>
      <c r="R2" s="72"/>
      <c r="S2" s="70"/>
      <c r="T2" s="80"/>
      <c r="U2" s="78"/>
      <c r="W2" s="25"/>
      <c r="AC2" s="2">
        <v>32</v>
      </c>
    </row>
    <row r="3" spans="1:29" s="2" customFormat="1" ht="17.25" thickBot="1" x14ac:dyDescent="0.35">
      <c r="A3" s="54"/>
      <c r="B3" s="107"/>
      <c r="C3" s="107"/>
      <c r="D3" s="107"/>
      <c r="E3" s="107"/>
      <c r="F3" s="107"/>
      <c r="G3" s="107"/>
      <c r="P3" s="107"/>
      <c r="Q3" s="107"/>
      <c r="R3" s="107"/>
      <c r="S3" s="107"/>
      <c r="T3" s="107"/>
      <c r="U3" s="107"/>
      <c r="W3" s="25"/>
    </row>
    <row r="4" spans="1:29" x14ac:dyDescent="0.3">
      <c r="A4" s="14"/>
      <c r="B4" s="6"/>
      <c r="C4" s="6"/>
      <c r="D4" s="6"/>
      <c r="E4" s="6"/>
      <c r="F4" s="6"/>
      <c r="G4" s="7"/>
      <c r="H4" s="20"/>
      <c r="I4" s="6" t="s">
        <v>21</v>
      </c>
      <c r="J4" s="6" t="s">
        <v>23</v>
      </c>
      <c r="K4" s="7"/>
      <c r="L4" s="20"/>
      <c r="M4" s="6" t="s">
        <v>22</v>
      </c>
      <c r="N4" s="6" t="s">
        <v>24</v>
      </c>
      <c r="O4" s="7"/>
      <c r="P4" s="7" t="s">
        <v>81</v>
      </c>
      <c r="Q4" s="20"/>
      <c r="R4" s="6"/>
      <c r="S4" s="6"/>
      <c r="T4" s="7"/>
      <c r="U4" s="34" t="s">
        <v>64</v>
      </c>
    </row>
    <row r="5" spans="1:29" x14ac:dyDescent="0.3">
      <c r="A5" s="21"/>
      <c r="B5" s="2"/>
      <c r="C5" s="25" t="s">
        <v>46</v>
      </c>
      <c r="D5" s="2"/>
      <c r="E5" s="2"/>
      <c r="F5" s="2"/>
      <c r="G5" s="11"/>
      <c r="H5" s="18"/>
      <c r="I5" s="10" t="e">
        <f>AVERAGE(#REF!)</f>
        <v>#REF!</v>
      </c>
      <c r="J5" s="10" t="e">
        <f>AVERAGE(#REF!)</f>
        <v>#REF!</v>
      </c>
      <c r="K5" s="15"/>
      <c r="L5" s="19"/>
      <c r="M5" s="10" t="e">
        <f>AVERAGE(#REF!)</f>
        <v>#REF!</v>
      </c>
      <c r="N5" s="10" t="e">
        <f>AVERAGE(#REF!)</f>
        <v>#REF!</v>
      </c>
      <c r="O5" s="11"/>
      <c r="P5" s="15" t="e">
        <f>AVERAGE(#REF!)</f>
        <v>#REF!</v>
      </c>
      <c r="Q5" s="18"/>
      <c r="R5" s="2"/>
      <c r="S5" s="2"/>
      <c r="T5" s="11"/>
      <c r="U5" s="32" t="e">
        <f>AVERAGE(#REF!)</f>
        <v>#REF!</v>
      </c>
    </row>
    <row r="6" spans="1:29" x14ac:dyDescent="0.3">
      <c r="A6" s="21"/>
      <c r="B6" s="2"/>
      <c r="C6" s="2" t="e">
        <f>COUNTIF(#REF!,"M")</f>
        <v>#REF!</v>
      </c>
      <c r="D6" s="2"/>
      <c r="E6" s="2"/>
      <c r="F6" s="2"/>
      <c r="G6" s="11"/>
      <c r="H6" s="18"/>
      <c r="I6" s="2" t="s">
        <v>26</v>
      </c>
      <c r="J6" s="2" t="s">
        <v>36</v>
      </c>
      <c r="K6" s="11"/>
      <c r="L6" s="18"/>
      <c r="M6" s="2" t="s">
        <v>31</v>
      </c>
      <c r="N6" s="2" t="s">
        <v>41</v>
      </c>
      <c r="O6" s="11"/>
      <c r="P6" s="11" t="s">
        <v>82</v>
      </c>
      <c r="Q6" s="18"/>
      <c r="R6" s="10"/>
      <c r="S6" s="2"/>
      <c r="T6" s="11"/>
      <c r="U6" s="32" t="s">
        <v>65</v>
      </c>
    </row>
    <row r="7" spans="1:29" x14ac:dyDescent="0.3">
      <c r="A7" s="21"/>
      <c r="B7" s="2"/>
      <c r="C7" s="25" t="s">
        <v>47</v>
      </c>
      <c r="D7" s="2"/>
      <c r="E7" s="2"/>
      <c r="F7" s="2"/>
      <c r="G7" s="11"/>
      <c r="H7" s="18"/>
      <c r="I7" s="10" t="e">
        <f>_xlfn.STDEV.S(#REF!)</f>
        <v>#REF!</v>
      </c>
      <c r="J7" s="10" t="e">
        <f>_xlfn.STDEV.S(#REF!)</f>
        <v>#REF!</v>
      </c>
      <c r="K7" s="11"/>
      <c r="L7" s="18"/>
      <c r="M7" s="10" t="e">
        <f>_xlfn.STDEV.S(#REF!)</f>
        <v>#REF!</v>
      </c>
      <c r="N7" s="10" t="e">
        <f>_xlfn.STDEV.S(#REF!)</f>
        <v>#REF!</v>
      </c>
      <c r="O7" s="11"/>
      <c r="P7" s="15" t="e">
        <f>_xlfn.STDEV.S(#REF!)</f>
        <v>#REF!</v>
      </c>
      <c r="Q7" s="18"/>
      <c r="R7" s="2"/>
      <c r="S7" s="2"/>
      <c r="T7" s="11"/>
      <c r="U7" s="32" t="e">
        <f>_xlfn.STDEV.S(#REF!)</f>
        <v>#REF!</v>
      </c>
    </row>
    <row r="8" spans="1:29" x14ac:dyDescent="0.3">
      <c r="A8" s="21"/>
      <c r="B8" s="2"/>
      <c r="C8" s="2" t="e">
        <f>COUNTIF(#REF!,"F")</f>
        <v>#REF!</v>
      </c>
      <c r="D8" s="2"/>
      <c r="E8" s="2"/>
      <c r="F8" s="2"/>
      <c r="G8" s="11"/>
      <c r="H8" s="18"/>
      <c r="I8" s="2" t="s">
        <v>27</v>
      </c>
      <c r="J8" s="2" t="s">
        <v>37</v>
      </c>
      <c r="K8" s="11"/>
      <c r="L8" s="18"/>
      <c r="M8" s="2" t="s">
        <v>32</v>
      </c>
      <c r="N8" s="2" t="s">
        <v>42</v>
      </c>
      <c r="O8" s="11"/>
      <c r="P8" s="11" t="s">
        <v>83</v>
      </c>
      <c r="Q8" s="18"/>
      <c r="R8" s="2"/>
      <c r="S8" s="2"/>
      <c r="T8" s="11"/>
      <c r="U8" s="5" t="s">
        <v>66</v>
      </c>
    </row>
    <row r="9" spans="1:29" x14ac:dyDescent="0.3">
      <c r="A9" s="21"/>
      <c r="B9" s="2"/>
      <c r="C9" s="2" t="s">
        <v>59</v>
      </c>
      <c r="D9" s="2"/>
      <c r="E9" s="2"/>
      <c r="F9" s="2"/>
      <c r="G9" s="11"/>
      <c r="H9" s="18"/>
      <c r="I9" s="10" t="e">
        <f>MAX(#REF!)</f>
        <v>#REF!</v>
      </c>
      <c r="J9" s="10" t="e">
        <f>MAX(#REF!)</f>
        <v>#REF!</v>
      </c>
      <c r="K9" s="11"/>
      <c r="L9" s="18"/>
      <c r="M9" s="10" t="e">
        <f>MAX(#REF!)</f>
        <v>#REF!</v>
      </c>
      <c r="N9" s="10" t="e">
        <f>MAX(#REF!)</f>
        <v>#REF!</v>
      </c>
      <c r="O9" s="11"/>
      <c r="P9" s="15" t="e">
        <f>MAX(#REF!)</f>
        <v>#REF!</v>
      </c>
      <c r="Q9" s="18"/>
      <c r="R9" s="2"/>
      <c r="S9" s="2"/>
      <c r="T9" s="11"/>
      <c r="U9" s="32" t="e">
        <f>MAX(#REF!)</f>
        <v>#REF!</v>
      </c>
    </row>
    <row r="10" spans="1:29" x14ac:dyDescent="0.3">
      <c r="A10" s="21"/>
      <c r="B10" s="2"/>
      <c r="C10" s="2" t="e">
        <f>IF(COUNTA(#REF!)=C6+C8,C6+C8,"MISTAKE!")</f>
        <v>#REF!</v>
      </c>
      <c r="D10" s="2"/>
      <c r="E10" s="2"/>
      <c r="F10" s="2"/>
      <c r="G10" s="11"/>
      <c r="H10" s="18"/>
      <c r="I10" s="2" t="s">
        <v>28</v>
      </c>
      <c r="J10" s="2" t="s">
        <v>38</v>
      </c>
      <c r="K10" s="11"/>
      <c r="L10" s="18"/>
      <c r="M10" s="2" t="s">
        <v>33</v>
      </c>
      <c r="N10" s="2" t="s">
        <v>43</v>
      </c>
      <c r="O10" s="11"/>
      <c r="P10" s="11" t="s">
        <v>84</v>
      </c>
      <c r="Q10" s="18"/>
      <c r="R10" s="2"/>
      <c r="S10" s="2"/>
      <c r="T10" s="11"/>
      <c r="U10" s="5" t="s">
        <v>67</v>
      </c>
    </row>
    <row r="11" spans="1:29" x14ac:dyDescent="0.3">
      <c r="A11" s="21"/>
      <c r="B11" s="2"/>
      <c r="C11" s="2"/>
      <c r="D11" s="2"/>
      <c r="E11" s="2"/>
      <c r="F11" s="2"/>
      <c r="G11" s="11"/>
      <c r="H11" s="46" t="e">
        <f>COUNTIF(#REF!,I11)/C10</f>
        <v>#REF!</v>
      </c>
      <c r="I11" s="10" t="e">
        <f>_xlfn.MODE.SNGL(#REF!)</f>
        <v>#REF!</v>
      </c>
      <c r="J11" s="10" t="e">
        <f>_xlfn.MODE.SNGL(#REF!)</f>
        <v>#REF!</v>
      </c>
      <c r="K11" s="47" t="e">
        <f>COUNTIF(#REF!,J11)/C10</f>
        <v>#REF!</v>
      </c>
      <c r="L11" s="46" t="e">
        <f>COUNTIF(#REF!,M11)/C10</f>
        <v>#REF!</v>
      </c>
      <c r="M11" s="10" t="e">
        <f>_xlfn.MODE.SNGL(#REF!)</f>
        <v>#REF!</v>
      </c>
      <c r="N11" s="10" t="e">
        <f>_xlfn.MODE.SNGL(#REF!)</f>
        <v>#REF!</v>
      </c>
      <c r="O11" s="47" t="e">
        <f>COUNTIF(#REF!,N11)/C10</f>
        <v>#REF!</v>
      </c>
      <c r="P11" s="15" t="e">
        <f>_xlfn.MODE.SNGL(#REF!)</f>
        <v>#REF!</v>
      </c>
      <c r="R11" s="2"/>
      <c r="S11" s="2"/>
      <c r="T11" s="11"/>
      <c r="U11" s="32" t="e">
        <f>_xlfn.MODE.SNGL(#REF!)</f>
        <v>#REF!</v>
      </c>
    </row>
    <row r="12" spans="1:29" x14ac:dyDescent="0.3">
      <c r="A12" s="21"/>
      <c r="B12" s="2"/>
      <c r="C12" s="2"/>
      <c r="D12" s="2"/>
      <c r="E12" s="2"/>
      <c r="F12" s="2"/>
      <c r="G12" s="11"/>
      <c r="H12" s="18"/>
      <c r="I12" s="2" t="s">
        <v>29</v>
      </c>
      <c r="J12" s="2" t="s">
        <v>39</v>
      </c>
      <c r="K12" s="11"/>
      <c r="L12" s="18"/>
      <c r="M12" s="2" t="s">
        <v>34</v>
      </c>
      <c r="N12" s="2" t="s">
        <v>44</v>
      </c>
      <c r="O12" s="11"/>
      <c r="P12" s="11" t="s">
        <v>85</v>
      </c>
      <c r="Q12" s="18"/>
      <c r="R12" s="2"/>
      <c r="S12" s="2"/>
      <c r="T12" s="11"/>
      <c r="U12" s="5" t="s">
        <v>68</v>
      </c>
    </row>
    <row r="13" spans="1:29" x14ac:dyDescent="0.3">
      <c r="A13" s="21"/>
      <c r="B13" s="2"/>
      <c r="C13" s="2"/>
      <c r="D13" s="2"/>
      <c r="E13" s="2"/>
      <c r="F13" s="2"/>
      <c r="G13" s="11"/>
      <c r="H13" s="18"/>
      <c r="I13" s="10" t="e">
        <f>MEDIAN(#REF!)</f>
        <v>#REF!</v>
      </c>
      <c r="J13" s="10" t="e">
        <f>MEDIAN(#REF!)</f>
        <v>#REF!</v>
      </c>
      <c r="K13" s="11"/>
      <c r="L13" s="18"/>
      <c r="M13" s="10" t="e">
        <f>MEDIAN(#REF!)</f>
        <v>#REF!</v>
      </c>
      <c r="N13" s="10" t="e">
        <f>MEDIAN(#REF!)</f>
        <v>#REF!</v>
      </c>
      <c r="O13" s="11"/>
      <c r="P13" s="15" t="e">
        <f>MEDIAN(#REF!)</f>
        <v>#REF!</v>
      </c>
      <c r="Q13" s="18"/>
      <c r="R13" s="2"/>
      <c r="S13" s="2"/>
      <c r="T13" s="11"/>
      <c r="U13" s="32" t="e">
        <f>MEDIAN(#REF!)</f>
        <v>#REF!</v>
      </c>
    </row>
    <row r="14" spans="1:29" x14ac:dyDescent="0.3">
      <c r="A14" s="21"/>
      <c r="B14" s="2"/>
      <c r="C14" s="2"/>
      <c r="D14" s="2"/>
      <c r="E14" s="2"/>
      <c r="F14" s="2"/>
      <c r="G14" s="11"/>
      <c r="H14" s="18"/>
      <c r="I14" s="2" t="s">
        <v>30</v>
      </c>
      <c r="J14" s="2" t="s">
        <v>40</v>
      </c>
      <c r="K14" s="11"/>
      <c r="L14" s="18"/>
      <c r="M14" s="2" t="s">
        <v>35</v>
      </c>
      <c r="N14" s="2" t="s">
        <v>45</v>
      </c>
      <c r="O14" s="11"/>
      <c r="P14" s="11" t="s">
        <v>86</v>
      </c>
      <c r="Q14" s="18"/>
      <c r="R14" s="2"/>
      <c r="S14" s="2"/>
      <c r="T14" s="11"/>
      <c r="U14" s="5" t="s">
        <v>69</v>
      </c>
    </row>
    <row r="15" spans="1:29" ht="17.25" thickBot="1" x14ac:dyDescent="0.35">
      <c r="A15" s="22"/>
      <c r="B15" s="3"/>
      <c r="C15" s="3"/>
      <c r="D15" s="3"/>
      <c r="E15" s="3"/>
      <c r="F15" s="3"/>
      <c r="G15" s="8"/>
      <c r="H15" s="17"/>
      <c r="I15" s="13" t="e">
        <f>MIN(#REF!)</f>
        <v>#REF!</v>
      </c>
      <c r="J15" s="13" t="e">
        <f>MIN(#REF!)</f>
        <v>#REF!</v>
      </c>
      <c r="K15" s="8"/>
      <c r="L15" s="17"/>
      <c r="M15" s="13" t="e">
        <f>MIN(#REF!)</f>
        <v>#REF!</v>
      </c>
      <c r="N15" s="13" t="e">
        <f>MIN(#REF!)</f>
        <v>#REF!</v>
      </c>
      <c r="O15" s="8"/>
      <c r="P15" s="16" t="e">
        <f>MIN(#REF!)</f>
        <v>#REF!</v>
      </c>
      <c r="Q15" s="17"/>
      <c r="R15" s="3"/>
      <c r="S15" s="3"/>
      <c r="T15" s="8"/>
      <c r="U15" s="33" t="e">
        <f>MIN(#REF!)</f>
        <v>#REF!</v>
      </c>
    </row>
    <row r="20" spans="1:18" ht="17.25" thickBot="1" x14ac:dyDescent="0.35"/>
    <row r="21" spans="1:18" x14ac:dyDescent="0.3">
      <c r="A21" s="2"/>
      <c r="B21" s="73" t="s">
        <v>49</v>
      </c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</row>
    <row r="22" spans="1:18" ht="21" thickBot="1" x14ac:dyDescent="0.35">
      <c r="A22" s="65"/>
      <c r="B22" s="75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</row>
    <row r="23" spans="1:18" ht="17.25" thickBot="1" x14ac:dyDescent="0.35">
      <c r="A23" s="2"/>
      <c r="B23" s="66"/>
      <c r="C23" s="23"/>
      <c r="D23" s="23" t="s">
        <v>77</v>
      </c>
      <c r="E23" s="23" t="s">
        <v>20</v>
      </c>
      <c r="F23" s="23"/>
      <c r="G23" s="23"/>
      <c r="H23" s="23"/>
      <c r="I23" s="23" t="s">
        <v>21</v>
      </c>
      <c r="J23" s="23" t="s">
        <v>26</v>
      </c>
      <c r="K23" s="23"/>
      <c r="L23" s="23"/>
      <c r="M23" s="23" t="s">
        <v>22</v>
      </c>
      <c r="N23" s="23" t="s">
        <v>48</v>
      </c>
      <c r="O23" s="23"/>
      <c r="P23" s="23" t="s">
        <v>81</v>
      </c>
      <c r="Q23" s="23" t="s">
        <v>82</v>
      </c>
      <c r="R23" s="23"/>
    </row>
    <row r="24" spans="1:18" x14ac:dyDescent="0.3">
      <c r="A24" s="2"/>
      <c r="B24" s="18"/>
      <c r="C24" s="2"/>
      <c r="D24" s="2" t="s">
        <v>78</v>
      </c>
      <c r="E24" s="2" t="e">
        <f>COUNTIFS(#REF!,"&lt;20")</f>
        <v>#REF!</v>
      </c>
      <c r="F24" s="2"/>
      <c r="G24" s="2"/>
      <c r="H24" s="2"/>
      <c r="I24" s="10" t="e">
        <f>AVERAGEIFS(#REF!,#REF!,"&lt;20")</f>
        <v>#REF!</v>
      </c>
      <c r="J24" s="10" t="e">
        <f t="array" ref="J24">_xlfn.STDEV.S(IF(#REF!&lt;20,#REF!))</f>
        <v>#REF!</v>
      </c>
      <c r="K24" s="10"/>
      <c r="L24" s="2"/>
      <c r="M24" s="10" t="e">
        <f>AVERAGEIFS(#REF!,#REF!,"&lt;20")</f>
        <v>#REF!</v>
      </c>
      <c r="N24" s="10" t="e">
        <f t="array" ref="N24">_xlfn.STDEV.S(IF(#REF!&lt;20,#REF!))</f>
        <v>#REF!</v>
      </c>
      <c r="O24" s="2"/>
      <c r="P24" s="10" t="e">
        <f>AVERAGEIFS(#REF!,#REF!,"&lt;20")</f>
        <v>#REF!</v>
      </c>
      <c r="Q24" s="10" t="e">
        <f t="array" ref="Q24">_xlfn.STDEV.S(IF(#REF!&lt;20,#REF!))</f>
        <v>#REF!</v>
      </c>
      <c r="R24" s="2"/>
    </row>
    <row r="25" spans="1:18" x14ac:dyDescent="0.3">
      <c r="A25" s="2"/>
      <c r="B25" s="18"/>
      <c r="C25" s="2"/>
      <c r="D25" s="2" t="s">
        <v>13</v>
      </c>
      <c r="E25" s="2" t="e">
        <f>COUNTIFS(#REF!,"&gt;=20",#REF!,"&lt;30")</f>
        <v>#REF!</v>
      </c>
      <c r="F25" s="2"/>
      <c r="G25" s="2"/>
      <c r="H25" s="2"/>
      <c r="I25" s="10" t="e">
        <f>AVERAGEIFS(#REF!,#REF!,"&gt;=20",#REF!,"&lt;30")</f>
        <v>#REF!</v>
      </c>
      <c r="J25" s="10" t="e">
        <f t="array" ref="J25">_xlfn.STDEV.S(IF(#REF!&gt;=20,IF(#REF!&lt;30,#REF!)))</f>
        <v>#REF!</v>
      </c>
      <c r="K25" s="10"/>
      <c r="L25" s="2"/>
      <c r="M25" s="10" t="e">
        <f>AVERAGEIFS(#REF!,#REF!,"&gt;=20",#REF!,"&lt;30")</f>
        <v>#REF!</v>
      </c>
      <c r="N25" s="10" t="e">
        <f t="array" ref="N25">_xlfn.STDEV.S(IF(#REF!&gt;=20,IF(#REF!&lt;30,#REF!)))</f>
        <v>#REF!</v>
      </c>
      <c r="O25" s="2"/>
      <c r="P25" s="10" t="e">
        <f>AVERAGEIFS(#REF!,#REF!,"&gt;=20",#REF!,"&lt;30")</f>
        <v>#REF!</v>
      </c>
      <c r="Q25" s="10" t="e">
        <f t="array" ref="Q25">_xlfn.STDEV.S(IF(#REF!&gt;=20,IF(#REF!&lt;30,#REF!)))</f>
        <v>#REF!</v>
      </c>
      <c r="R25" s="2"/>
    </row>
    <row r="26" spans="1:18" x14ac:dyDescent="0.3">
      <c r="A26" s="2"/>
      <c r="B26" s="18"/>
      <c r="C26" s="2"/>
      <c r="D26" s="2" t="s">
        <v>14</v>
      </c>
      <c r="E26" s="2" t="e">
        <f>COUNTIFS(#REF!,"&gt;=30",#REF!,"&lt;40")</f>
        <v>#REF!</v>
      </c>
      <c r="F26" s="2"/>
      <c r="G26" s="2"/>
      <c r="H26" s="2"/>
      <c r="I26" s="10" t="e">
        <f>AVERAGEIFS(#REF!,#REF!,"&gt;=30",#REF!,"&lt;40")</f>
        <v>#REF!</v>
      </c>
      <c r="J26" s="10" t="e">
        <f t="array" ref="J26">_xlfn.STDEV.S(IF(#REF!&gt;=30,IF(#REF!&lt;40,#REF!)))</f>
        <v>#REF!</v>
      </c>
      <c r="K26" s="10"/>
      <c r="L26" s="2"/>
      <c r="M26" s="10" t="e">
        <f>AVERAGEIFS(#REF!,#REF!,"&gt;=30",#REF!,"&lt;40")</f>
        <v>#REF!</v>
      </c>
      <c r="N26" s="10" t="e">
        <f t="array" ref="N26">_xlfn.STDEV.S(IF(#REF!&gt;=30,IF(#REF!&lt;40,#REF!)))</f>
        <v>#REF!</v>
      </c>
      <c r="O26" s="2"/>
      <c r="P26" s="10" t="e">
        <f>AVERAGEIFS(#REF!,#REF!,"&gt;=30",#REF!,"&lt;40")</f>
        <v>#REF!</v>
      </c>
      <c r="Q26" s="10" t="e">
        <f t="array" ref="Q26">_xlfn.STDEV.S(IF(#REF!&gt;=30,IF(#REF!&lt;40,#REF!)))</f>
        <v>#REF!</v>
      </c>
      <c r="R26" s="2"/>
    </row>
    <row r="27" spans="1:18" x14ac:dyDescent="0.3">
      <c r="A27" s="2"/>
      <c r="B27" s="18"/>
      <c r="C27" s="2"/>
      <c r="D27" s="2" t="s">
        <v>15</v>
      </c>
      <c r="E27" s="2" t="e">
        <f>COUNTIFS(#REF!,"&gt;=40",#REF!,"&lt;50")</f>
        <v>#REF!</v>
      </c>
      <c r="F27" s="2"/>
      <c r="G27" s="2"/>
      <c r="H27" s="2"/>
      <c r="I27" s="10" t="e">
        <f>AVERAGEIFS(#REF!,#REF!,"&gt;=40",#REF!,"&lt;50")</f>
        <v>#REF!</v>
      </c>
      <c r="J27" s="10" t="e">
        <f t="array" ref="J27">_xlfn.STDEV.S(IF(#REF!&gt;=40,IF(#REF!&lt;50,#REF!)))</f>
        <v>#REF!</v>
      </c>
      <c r="K27" s="10"/>
      <c r="L27" s="2"/>
      <c r="M27" s="10" t="e">
        <f>AVERAGEIFS(#REF!,#REF!,"&gt;=40",#REF!,"&lt;50")</f>
        <v>#REF!</v>
      </c>
      <c r="N27" s="10" t="e">
        <f t="array" ref="N27">_xlfn.STDEV.S(IF(#REF!&gt;=40,IF(#REF!&lt;50,#REF!)))</f>
        <v>#REF!</v>
      </c>
      <c r="O27" s="2"/>
      <c r="P27" s="10" t="e">
        <f>AVERAGEIFS(#REF!,#REF!,"&gt;=40",#REF!,"&lt;50")</f>
        <v>#REF!</v>
      </c>
      <c r="Q27" s="10" t="e">
        <f t="array" ref="Q27">_xlfn.STDEV.S(IF(#REF!&gt;=40,IF(#REF!&lt;50,#REF!)))</f>
        <v>#REF!</v>
      </c>
      <c r="R27" s="2"/>
    </row>
    <row r="28" spans="1:18" x14ac:dyDescent="0.3">
      <c r="A28" s="2"/>
      <c r="B28" s="18"/>
      <c r="C28" s="2"/>
      <c r="D28" s="2" t="s">
        <v>16</v>
      </c>
      <c r="E28" s="2" t="e">
        <f>COUNTIFS(#REF!,"&gt;=50",#REF!,"&lt;60")</f>
        <v>#REF!</v>
      </c>
      <c r="F28" s="2"/>
      <c r="G28" s="2"/>
      <c r="H28" s="2"/>
      <c r="I28" s="10" t="e">
        <f>AVERAGEIFS(#REF!,#REF!,"&gt;=50",#REF!,"&lt;60")</f>
        <v>#REF!</v>
      </c>
      <c r="J28" s="10" t="e">
        <f t="array" ref="J28">_xlfn.STDEV.S(IF(#REF!&gt;=50,IF(#REF!&lt;60,#REF!)))</f>
        <v>#REF!</v>
      </c>
      <c r="K28" s="10"/>
      <c r="L28" s="2"/>
      <c r="M28" s="10" t="e">
        <f>AVERAGEIFS(#REF!,#REF!,"&gt;=50",#REF!,"&lt;60")</f>
        <v>#REF!</v>
      </c>
      <c r="N28" s="10" t="e">
        <f t="array" ref="N28">_xlfn.STDEV.S(IF(#REF!&gt;=50,IF(#REF!&lt;60,#REF!)))</f>
        <v>#REF!</v>
      </c>
      <c r="O28" s="2"/>
      <c r="P28" s="10" t="e">
        <f>AVERAGEIFS(#REF!,#REF!,"&gt;=50",#REF!,"&lt;60")</f>
        <v>#REF!</v>
      </c>
      <c r="Q28" s="10" t="e">
        <f t="array" ref="Q28">_xlfn.STDEV.S(IF(#REF!&gt;=50,IF(#REF!&lt;60,#REF!)))</f>
        <v>#REF!</v>
      </c>
      <c r="R28" s="2"/>
    </row>
    <row r="29" spans="1:18" x14ac:dyDescent="0.3">
      <c r="A29" s="2"/>
      <c r="B29" s="18"/>
      <c r="C29" s="2"/>
      <c r="D29" s="2" t="s">
        <v>17</v>
      </c>
      <c r="E29" s="2" t="e">
        <f>COUNTIFS(#REF!,"&gt;=60",#REF!,"&lt;70")</f>
        <v>#REF!</v>
      </c>
      <c r="F29" s="2"/>
      <c r="G29" s="2"/>
      <c r="H29" s="2"/>
      <c r="I29" s="10" t="e">
        <f>AVERAGEIFS(#REF!,#REF!,"&gt;=60",#REF!,"&lt;70")</f>
        <v>#REF!</v>
      </c>
      <c r="J29" s="10" t="e">
        <f t="array" ref="J29">_xlfn.STDEV.S(IF(#REF!&gt;=60,IF(#REF!&lt;70,#REF!)))</f>
        <v>#REF!</v>
      </c>
      <c r="K29" s="10"/>
      <c r="L29" s="2"/>
      <c r="M29" s="10" t="e">
        <f>AVERAGEIFS(#REF!,#REF!,"&gt;=60",#REF!,"&lt;70")</f>
        <v>#REF!</v>
      </c>
      <c r="N29" s="10" t="e">
        <f t="array" ref="N29">_xlfn.STDEV.S(IF(#REF!&gt;=60,IF(#REF!&lt;70,#REF!)))</f>
        <v>#REF!</v>
      </c>
      <c r="O29" s="2"/>
      <c r="P29" s="10" t="e">
        <f>AVERAGEIFS(#REF!,#REF!,"&gt;=60",#REF!,"&lt;70")</f>
        <v>#REF!</v>
      </c>
      <c r="Q29" s="10" t="e">
        <f t="array" ref="Q29">_xlfn.STDEV.S(IF(#REF!&gt;=60,IF(#REF!&lt;70,#REF!)))</f>
        <v>#REF!</v>
      </c>
      <c r="R29" s="2"/>
    </row>
    <row r="30" spans="1:18" x14ac:dyDescent="0.3">
      <c r="A30" s="2"/>
      <c r="B30" s="18"/>
      <c r="C30" s="2"/>
      <c r="D30" s="2" t="s">
        <v>18</v>
      </c>
      <c r="E30" s="2" t="e">
        <f>COUNTIFS(#REF!,"&gt;=70",#REF!,"&lt;80")</f>
        <v>#REF!</v>
      </c>
      <c r="F30" s="2"/>
      <c r="G30" s="2"/>
      <c r="H30" s="2"/>
      <c r="I30" s="10" t="e">
        <f>AVERAGEIFS(#REF!,#REF!,"&gt;=70",#REF!,"&lt;80")</f>
        <v>#REF!</v>
      </c>
      <c r="J30" s="10" t="e">
        <f t="array" ref="J30">_xlfn.STDEV.S(IF(#REF!&gt;=70,IF(#REF!&lt;80,#REF!)))</f>
        <v>#REF!</v>
      </c>
      <c r="K30" s="10"/>
      <c r="L30" s="2"/>
      <c r="M30" s="10" t="e">
        <f>AVERAGEIFS(#REF!,#REF!,"&gt;=70",#REF!,"&lt;80")</f>
        <v>#REF!</v>
      </c>
      <c r="N30" s="10" t="e">
        <f t="array" ref="N30">_xlfn.STDEV.S(IF(#REF!&gt;=70,IF(#REF!&lt;80,#REF!)))</f>
        <v>#REF!</v>
      </c>
      <c r="O30" s="2"/>
      <c r="P30" s="10" t="e">
        <f>AVERAGEIFS(#REF!,#REF!,"&gt;=70",#REF!,"&lt;80")</f>
        <v>#REF!</v>
      </c>
      <c r="Q30" s="10" t="e">
        <f t="array" ref="Q30">_xlfn.STDEV.S(IF(#REF!&gt;=70,IF(#REF!&lt;80,#REF!)))</f>
        <v>#REF!</v>
      </c>
      <c r="R30" s="2"/>
    </row>
    <row r="31" spans="1:18" ht="17.25" thickBot="1" x14ac:dyDescent="0.35">
      <c r="A31" s="2"/>
      <c r="B31" s="18"/>
      <c r="C31" s="2"/>
      <c r="D31" s="2" t="s">
        <v>79</v>
      </c>
      <c r="E31" s="2" t="e">
        <f>COUNTIFS(#REF!,"&gt;=80")</f>
        <v>#REF!</v>
      </c>
      <c r="F31" s="2"/>
      <c r="G31" s="2"/>
      <c r="H31" s="2"/>
      <c r="I31" s="10" t="e">
        <f>AVERAGEIFS(#REF!,#REF!,"&gt;=80")</f>
        <v>#REF!</v>
      </c>
      <c r="J31" s="10" t="e">
        <f t="array" ref="J31">_xlfn.STDEV.S(IF(#REF!&gt;=80,#REF!))</f>
        <v>#REF!</v>
      </c>
      <c r="K31" s="10"/>
      <c r="L31" s="2"/>
      <c r="M31" s="10" t="e">
        <f>AVERAGEIFS(#REF!,#REF!,"&gt;=80")</f>
        <v>#REF!</v>
      </c>
      <c r="N31" s="10" t="e">
        <f t="array" ref="N31">_xlfn.STDEV.S(IF(#REF!&gt;=80,#REF!))</f>
        <v>#REF!</v>
      </c>
      <c r="O31" s="2"/>
      <c r="P31" s="10" t="e">
        <f>AVERAGEIFS(#REF!,#REF!,"&gt;=80")</f>
        <v>#REF!</v>
      </c>
      <c r="Q31" s="10" t="e">
        <f t="array" ref="Q31">_xlfn.STDEV.S(IF(#REF!&gt;=80,#REF!))</f>
        <v>#REF!</v>
      </c>
      <c r="R31" s="2"/>
    </row>
    <row r="32" spans="1:18" ht="17.25" thickBot="1" x14ac:dyDescent="0.35">
      <c r="A32" s="2"/>
      <c r="B32" s="66"/>
      <c r="C32" s="23"/>
      <c r="D32" s="23" t="s">
        <v>12</v>
      </c>
      <c r="E32" s="23" t="e">
        <f>SUM(E24:E31)</f>
        <v>#REF!</v>
      </c>
      <c r="F32" s="23"/>
      <c r="G32" s="23"/>
      <c r="H32" s="23"/>
      <c r="I32" s="24" t="e">
        <f>AVERAGE(#REF!)</f>
        <v>#REF!</v>
      </c>
      <c r="J32" s="24" t="e">
        <f>_xlfn.STDEV.S(#REF!)</f>
        <v>#REF!</v>
      </c>
      <c r="K32" s="23"/>
      <c r="L32" s="23"/>
      <c r="M32" s="24" t="e">
        <f>AVERAGE(#REF!)</f>
        <v>#REF!</v>
      </c>
      <c r="N32" s="24" t="e">
        <f>_xlfn.STDEV.S(#REF!)</f>
        <v>#REF!</v>
      </c>
      <c r="O32" s="23"/>
      <c r="P32" s="24" t="e">
        <f>AVERAGE(#REF!)</f>
        <v>#REF!</v>
      </c>
      <c r="Q32" s="24" t="e">
        <f>_xlfn.STDEV.S(#REF!)</f>
        <v>#REF!</v>
      </c>
      <c r="R32" s="24"/>
    </row>
    <row r="33" spans="9:9" x14ac:dyDescent="0.3">
      <c r="I33" s="1"/>
    </row>
    <row r="205" ht="16.5" customHeight="1" x14ac:dyDescent="0.3"/>
    <row r="206" ht="17.25" customHeight="1" x14ac:dyDescent="0.3"/>
    <row r="684" ht="17.100000000000001" customHeight="1" x14ac:dyDescent="0.3"/>
    <row r="685" ht="17.45" customHeight="1" x14ac:dyDescent="0.3"/>
    <row r="2178" spans="22:22" ht="17.25" thickBot="1" x14ac:dyDescent="0.35"/>
    <row r="2179" spans="22:22" ht="17.25" thickBot="1" x14ac:dyDescent="0.35">
      <c r="V2179" s="48" t="e">
        <f>COUNTIF(#REF!,U$11)/C$10</f>
        <v>#REF!</v>
      </c>
    </row>
  </sheetData>
  <mergeCells count="16">
    <mergeCell ref="S1:S2"/>
    <mergeCell ref="T1:T2"/>
    <mergeCell ref="U1:U2"/>
    <mergeCell ref="B21:R22"/>
    <mergeCell ref="G1:G2"/>
    <mergeCell ref="H1:K1"/>
    <mergeCell ref="L1:O1"/>
    <mergeCell ref="P1:P2"/>
    <mergeCell ref="Q1:Q2"/>
    <mergeCell ref="R1:R2"/>
    <mergeCell ref="A1:A2"/>
    <mergeCell ref="B1:B2"/>
    <mergeCell ref="C1:C2"/>
    <mergeCell ref="D1:D2"/>
    <mergeCell ref="E1:E2"/>
    <mergeCell ref="F1:F2"/>
  </mergeCells>
  <phoneticPr fontId="1" type="noConversion"/>
  <conditionalFormatting sqref="W4:W191">
    <cfRule type="duplicat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179"/>
  <sheetViews>
    <sheetView tabSelected="1" zoomScale="70" zoomScaleNormal="70" workbookViewId="0">
      <selection sqref="A1:XFD1048576"/>
    </sheetView>
  </sheetViews>
  <sheetFormatPr defaultRowHeight="16.5" x14ac:dyDescent="0.3"/>
  <cols>
    <col min="1" max="1" width="9.625" style="4" bestFit="1" customWidth="1"/>
    <col min="2" max="2" width="23.125" bestFit="1" customWidth="1"/>
    <col min="3" max="3" width="5.25" bestFit="1" customWidth="1"/>
    <col min="4" max="4" width="7.375" bestFit="1" customWidth="1"/>
    <col min="5" max="5" width="12.25" bestFit="1" customWidth="1"/>
    <col min="6" max="6" width="18.375" bestFit="1" customWidth="1"/>
    <col min="7" max="7" width="23.625" bestFit="1" customWidth="1"/>
    <col min="8" max="8" width="11.125" bestFit="1" customWidth="1"/>
    <col min="9" max="9" width="17.625" bestFit="1" customWidth="1"/>
    <col min="10" max="10" width="19.875" bestFit="1" customWidth="1"/>
    <col min="11" max="11" width="9.25" bestFit="1" customWidth="1"/>
    <col min="12" max="12" width="11.125" bestFit="1" customWidth="1"/>
    <col min="13" max="13" width="17.125" bestFit="1" customWidth="1"/>
    <col min="14" max="14" width="17.25" bestFit="1" customWidth="1"/>
    <col min="15" max="15" width="9.25" bestFit="1" customWidth="1"/>
    <col min="16" max="16" width="12.5" bestFit="1" customWidth="1"/>
    <col min="17" max="17" width="13.5" bestFit="1" customWidth="1"/>
    <col min="18" max="18" width="12" customWidth="1"/>
    <col min="21" max="21" width="13.875" bestFit="1" customWidth="1"/>
    <col min="26" max="26" width="12.25" bestFit="1" customWidth="1"/>
    <col min="27" max="27" width="18.375" bestFit="1" customWidth="1"/>
  </cols>
  <sheetData>
    <row r="1" spans="1:29" s="2" customFormat="1" x14ac:dyDescent="0.3">
      <c r="A1" s="83" t="s">
        <v>0</v>
      </c>
      <c r="B1" s="69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9" t="s">
        <v>6</v>
      </c>
      <c r="H1" s="81" t="s">
        <v>10</v>
      </c>
      <c r="I1" s="81"/>
      <c r="J1" s="81"/>
      <c r="K1" s="81"/>
      <c r="L1" s="69" t="s">
        <v>11</v>
      </c>
      <c r="M1" s="71"/>
      <c r="N1" s="71"/>
      <c r="O1" s="79"/>
      <c r="P1" s="81" t="s">
        <v>19</v>
      </c>
      <c r="Q1" s="77" t="s">
        <v>50</v>
      </c>
      <c r="R1" s="81" t="s">
        <v>89</v>
      </c>
      <c r="S1" s="69" t="s">
        <v>56</v>
      </c>
      <c r="T1" s="79" t="s">
        <v>57</v>
      </c>
      <c r="U1" s="77" t="s">
        <v>63</v>
      </c>
    </row>
    <row r="2" spans="1:29" s="2" customFormat="1" ht="17.25" thickBot="1" x14ac:dyDescent="0.35">
      <c r="A2" s="84"/>
      <c r="B2" s="70"/>
      <c r="C2" s="72"/>
      <c r="D2" s="72"/>
      <c r="E2" s="72"/>
      <c r="F2" s="72"/>
      <c r="G2" s="80"/>
      <c r="H2" s="3" t="s">
        <v>7</v>
      </c>
      <c r="I2" s="3" t="s">
        <v>8</v>
      </c>
      <c r="J2" s="3" t="s">
        <v>25</v>
      </c>
      <c r="K2" s="3" t="s">
        <v>9</v>
      </c>
      <c r="L2" s="67" t="s">
        <v>7</v>
      </c>
      <c r="M2" s="3" t="s">
        <v>8</v>
      </c>
      <c r="N2" s="3" t="s">
        <v>25</v>
      </c>
      <c r="O2" s="68" t="s">
        <v>9</v>
      </c>
      <c r="P2" s="72"/>
      <c r="Q2" s="82"/>
      <c r="R2" s="72"/>
      <c r="S2" s="70"/>
      <c r="T2" s="80"/>
      <c r="U2" s="78"/>
      <c r="W2" s="25"/>
      <c r="AC2" s="2">
        <v>32</v>
      </c>
    </row>
    <row r="3" spans="1:29" s="2" customFormat="1" ht="17.25" thickBot="1" x14ac:dyDescent="0.35">
      <c r="A3" s="54"/>
      <c r="B3" s="107"/>
      <c r="C3" s="107"/>
      <c r="D3" s="107"/>
      <c r="E3" s="107"/>
      <c r="F3" s="107"/>
      <c r="G3" s="107"/>
      <c r="P3" s="107"/>
      <c r="Q3" s="107"/>
      <c r="R3" s="107"/>
      <c r="S3" s="107"/>
      <c r="T3" s="107"/>
      <c r="U3" s="107"/>
      <c r="W3" s="25"/>
    </row>
    <row r="4" spans="1:29" x14ac:dyDescent="0.3">
      <c r="A4" s="14"/>
      <c r="B4" s="6"/>
      <c r="C4" s="6"/>
      <c r="D4" s="6"/>
      <c r="E4" s="6"/>
      <c r="F4" s="6"/>
      <c r="G4" s="7"/>
      <c r="H4" s="20"/>
      <c r="I4" s="6" t="s">
        <v>21</v>
      </c>
      <c r="J4" s="6" t="s">
        <v>23</v>
      </c>
      <c r="K4" s="7"/>
      <c r="L4" s="20"/>
      <c r="M4" s="6" t="s">
        <v>22</v>
      </c>
      <c r="N4" s="6" t="s">
        <v>24</v>
      </c>
      <c r="O4" s="7"/>
      <c r="P4" s="7" t="s">
        <v>81</v>
      </c>
      <c r="Q4" s="20"/>
      <c r="R4" s="6"/>
      <c r="S4" s="6"/>
      <c r="T4" s="7"/>
      <c r="U4" s="34" t="s">
        <v>64</v>
      </c>
    </row>
    <row r="5" spans="1:29" x14ac:dyDescent="0.3">
      <c r="A5" s="21"/>
      <c r="B5" s="2"/>
      <c r="C5" s="25" t="s">
        <v>46</v>
      </c>
      <c r="D5" s="2"/>
      <c r="E5" s="2"/>
      <c r="F5" s="2"/>
      <c r="G5" s="11"/>
      <c r="H5" s="18"/>
      <c r="I5" s="10" t="e">
        <f>AVERAGE(#REF!)</f>
        <v>#REF!</v>
      </c>
      <c r="J5" s="10" t="e">
        <f>AVERAGE(#REF!)</f>
        <v>#REF!</v>
      </c>
      <c r="K5" s="15"/>
      <c r="L5" s="19"/>
      <c r="M5" s="10" t="e">
        <f>AVERAGE(#REF!)</f>
        <v>#REF!</v>
      </c>
      <c r="N5" s="10" t="e">
        <f>AVERAGE(#REF!)</f>
        <v>#REF!</v>
      </c>
      <c r="O5" s="11"/>
      <c r="P5" s="15" t="e">
        <f>AVERAGE(#REF!)</f>
        <v>#REF!</v>
      </c>
      <c r="Q5" s="18"/>
      <c r="R5" s="2"/>
      <c r="S5" s="2"/>
      <c r="T5" s="11"/>
      <c r="U5" s="32" t="e">
        <f>AVERAGE(#REF!)</f>
        <v>#REF!</v>
      </c>
    </row>
    <row r="6" spans="1:29" x14ac:dyDescent="0.3">
      <c r="A6" s="21"/>
      <c r="B6" s="2"/>
      <c r="C6" s="2" t="e">
        <f>COUNTIF(#REF!,"M")</f>
        <v>#REF!</v>
      </c>
      <c r="D6" s="2"/>
      <c r="E6" s="2"/>
      <c r="F6" s="2"/>
      <c r="G6" s="11"/>
      <c r="H6" s="18"/>
      <c r="I6" s="2" t="s">
        <v>26</v>
      </c>
      <c r="J6" s="2" t="s">
        <v>36</v>
      </c>
      <c r="K6" s="11"/>
      <c r="L6" s="18"/>
      <c r="M6" s="2" t="s">
        <v>31</v>
      </c>
      <c r="N6" s="2" t="s">
        <v>41</v>
      </c>
      <c r="O6" s="11"/>
      <c r="P6" s="11" t="s">
        <v>82</v>
      </c>
      <c r="Q6" s="18"/>
      <c r="R6" s="10"/>
      <c r="S6" s="2"/>
      <c r="T6" s="11"/>
      <c r="U6" s="32" t="s">
        <v>65</v>
      </c>
    </row>
    <row r="7" spans="1:29" x14ac:dyDescent="0.3">
      <c r="A7" s="21"/>
      <c r="B7" s="2"/>
      <c r="C7" s="25" t="s">
        <v>47</v>
      </c>
      <c r="D7" s="2"/>
      <c r="E7" s="2"/>
      <c r="F7" s="2"/>
      <c r="G7" s="11"/>
      <c r="H7" s="18"/>
      <c r="I7" s="10" t="e">
        <f>_xlfn.STDEV.S(#REF!)</f>
        <v>#REF!</v>
      </c>
      <c r="J7" s="10" t="e">
        <f>_xlfn.STDEV.S(#REF!)</f>
        <v>#REF!</v>
      </c>
      <c r="K7" s="11"/>
      <c r="L7" s="18"/>
      <c r="M7" s="10" t="e">
        <f>_xlfn.STDEV.S(#REF!)</f>
        <v>#REF!</v>
      </c>
      <c r="N7" s="10" t="e">
        <f>_xlfn.STDEV.S(#REF!)</f>
        <v>#REF!</v>
      </c>
      <c r="O7" s="11"/>
      <c r="P7" s="15" t="e">
        <f>_xlfn.STDEV.S(#REF!)</f>
        <v>#REF!</v>
      </c>
      <c r="Q7" s="18"/>
      <c r="R7" s="2"/>
      <c r="S7" s="2"/>
      <c r="T7" s="11"/>
      <c r="U7" s="32" t="e">
        <f>_xlfn.STDEV.S(#REF!)</f>
        <v>#REF!</v>
      </c>
    </row>
    <row r="8" spans="1:29" x14ac:dyDescent="0.3">
      <c r="A8" s="21"/>
      <c r="B8" s="2"/>
      <c r="C8" s="2" t="e">
        <f>COUNTIF(#REF!,"F")</f>
        <v>#REF!</v>
      </c>
      <c r="D8" s="2"/>
      <c r="E8" s="2"/>
      <c r="F8" s="2"/>
      <c r="G8" s="11"/>
      <c r="H8" s="18"/>
      <c r="I8" s="2" t="s">
        <v>27</v>
      </c>
      <c r="J8" s="2" t="s">
        <v>37</v>
      </c>
      <c r="K8" s="11"/>
      <c r="L8" s="18"/>
      <c r="M8" s="2" t="s">
        <v>32</v>
      </c>
      <c r="N8" s="2" t="s">
        <v>42</v>
      </c>
      <c r="O8" s="11"/>
      <c r="P8" s="11" t="s">
        <v>83</v>
      </c>
      <c r="Q8" s="18"/>
      <c r="R8" s="2"/>
      <c r="S8" s="2"/>
      <c r="T8" s="11"/>
      <c r="U8" s="5" t="s">
        <v>66</v>
      </c>
    </row>
    <row r="9" spans="1:29" x14ac:dyDescent="0.3">
      <c r="A9" s="21"/>
      <c r="B9" s="2"/>
      <c r="C9" s="2" t="s">
        <v>59</v>
      </c>
      <c r="D9" s="2"/>
      <c r="E9" s="2"/>
      <c r="F9" s="2"/>
      <c r="G9" s="11"/>
      <c r="H9" s="18"/>
      <c r="I9" s="10" t="e">
        <f>MAX(#REF!)</f>
        <v>#REF!</v>
      </c>
      <c r="J9" s="10" t="e">
        <f>MAX(#REF!)</f>
        <v>#REF!</v>
      </c>
      <c r="K9" s="11"/>
      <c r="L9" s="18"/>
      <c r="M9" s="10" t="e">
        <f>MAX(#REF!)</f>
        <v>#REF!</v>
      </c>
      <c r="N9" s="10" t="e">
        <f>MAX(#REF!)</f>
        <v>#REF!</v>
      </c>
      <c r="O9" s="11"/>
      <c r="P9" s="15" t="e">
        <f>MAX(#REF!)</f>
        <v>#REF!</v>
      </c>
      <c r="Q9" s="18"/>
      <c r="R9" s="2"/>
      <c r="S9" s="2"/>
      <c r="T9" s="11"/>
      <c r="U9" s="32" t="e">
        <f>MAX(#REF!)</f>
        <v>#REF!</v>
      </c>
    </row>
    <row r="10" spans="1:29" x14ac:dyDescent="0.3">
      <c r="A10" s="21"/>
      <c r="B10" s="2"/>
      <c r="C10" s="2" t="e">
        <f>IF(COUNTA(#REF!)=C6+C8,C6+C8,"MISTAKE!")</f>
        <v>#REF!</v>
      </c>
      <c r="D10" s="2"/>
      <c r="E10" s="2"/>
      <c r="F10" s="2"/>
      <c r="G10" s="11"/>
      <c r="H10" s="18"/>
      <c r="I10" s="2" t="s">
        <v>28</v>
      </c>
      <c r="J10" s="2" t="s">
        <v>38</v>
      </c>
      <c r="K10" s="11"/>
      <c r="L10" s="18"/>
      <c r="M10" s="2" t="s">
        <v>33</v>
      </c>
      <c r="N10" s="2" t="s">
        <v>43</v>
      </c>
      <c r="O10" s="11"/>
      <c r="P10" s="11" t="s">
        <v>84</v>
      </c>
      <c r="Q10" s="18"/>
      <c r="R10" s="2"/>
      <c r="S10" s="2"/>
      <c r="T10" s="11"/>
      <c r="U10" s="5" t="s">
        <v>67</v>
      </c>
    </row>
    <row r="11" spans="1:29" x14ac:dyDescent="0.3">
      <c r="A11" s="21"/>
      <c r="B11" s="2"/>
      <c r="C11" s="2"/>
      <c r="D11" s="2"/>
      <c r="E11" s="2"/>
      <c r="F11" s="2"/>
      <c r="G11" s="11"/>
      <c r="H11" s="46" t="e">
        <f>COUNTIF(#REF!,I11)/C10</f>
        <v>#REF!</v>
      </c>
      <c r="I11" s="10" t="e">
        <f>_xlfn.MODE.SNGL(#REF!)</f>
        <v>#REF!</v>
      </c>
      <c r="J11" s="10" t="e">
        <f>_xlfn.MODE.SNGL(#REF!)</f>
        <v>#REF!</v>
      </c>
      <c r="K11" s="47" t="e">
        <f>COUNTIF(#REF!,J11)/C10</f>
        <v>#REF!</v>
      </c>
      <c r="L11" s="46" t="e">
        <f>COUNTIF(#REF!,M11)/C10</f>
        <v>#REF!</v>
      </c>
      <c r="M11" s="10" t="e">
        <f>_xlfn.MODE.SNGL(#REF!)</f>
        <v>#REF!</v>
      </c>
      <c r="N11" s="10" t="e">
        <f>_xlfn.MODE.SNGL(#REF!)</f>
        <v>#REF!</v>
      </c>
      <c r="O11" s="47" t="e">
        <f>COUNTIF(#REF!,N11)/C10</f>
        <v>#REF!</v>
      </c>
      <c r="P11" s="15" t="e">
        <f>_xlfn.MODE.SNGL(#REF!)</f>
        <v>#REF!</v>
      </c>
      <c r="R11" s="2"/>
      <c r="S11" s="2"/>
      <c r="T11" s="11"/>
      <c r="U11" s="32" t="e">
        <f>_xlfn.MODE.SNGL(#REF!)</f>
        <v>#REF!</v>
      </c>
    </row>
    <row r="12" spans="1:29" x14ac:dyDescent="0.3">
      <c r="A12" s="21"/>
      <c r="B12" s="2"/>
      <c r="C12" s="2"/>
      <c r="D12" s="2"/>
      <c r="E12" s="2"/>
      <c r="F12" s="2"/>
      <c r="G12" s="11"/>
      <c r="H12" s="18"/>
      <c r="I12" s="2" t="s">
        <v>29</v>
      </c>
      <c r="J12" s="2" t="s">
        <v>39</v>
      </c>
      <c r="K12" s="11"/>
      <c r="L12" s="18"/>
      <c r="M12" s="2" t="s">
        <v>34</v>
      </c>
      <c r="N12" s="2" t="s">
        <v>44</v>
      </c>
      <c r="O12" s="11"/>
      <c r="P12" s="11" t="s">
        <v>85</v>
      </c>
      <c r="Q12" s="18"/>
      <c r="R12" s="2"/>
      <c r="S12" s="2"/>
      <c r="T12" s="11"/>
      <c r="U12" s="5" t="s">
        <v>68</v>
      </c>
    </row>
    <row r="13" spans="1:29" x14ac:dyDescent="0.3">
      <c r="A13" s="21"/>
      <c r="B13" s="2"/>
      <c r="C13" s="2"/>
      <c r="D13" s="2"/>
      <c r="E13" s="2"/>
      <c r="F13" s="2"/>
      <c r="G13" s="11"/>
      <c r="H13" s="18"/>
      <c r="I13" s="10" t="e">
        <f>MEDIAN(#REF!)</f>
        <v>#REF!</v>
      </c>
      <c r="J13" s="10" t="e">
        <f>MEDIAN(#REF!)</f>
        <v>#REF!</v>
      </c>
      <c r="K13" s="11"/>
      <c r="L13" s="18"/>
      <c r="M13" s="10" t="e">
        <f>MEDIAN(#REF!)</f>
        <v>#REF!</v>
      </c>
      <c r="N13" s="10" t="e">
        <f>MEDIAN(#REF!)</f>
        <v>#REF!</v>
      </c>
      <c r="O13" s="11"/>
      <c r="P13" s="15" t="e">
        <f>MEDIAN(#REF!)</f>
        <v>#REF!</v>
      </c>
      <c r="Q13" s="18"/>
      <c r="R13" s="2"/>
      <c r="S13" s="2"/>
      <c r="T13" s="11"/>
      <c r="U13" s="32" t="e">
        <f>MEDIAN(#REF!)</f>
        <v>#REF!</v>
      </c>
    </row>
    <row r="14" spans="1:29" x14ac:dyDescent="0.3">
      <c r="A14" s="21"/>
      <c r="B14" s="2"/>
      <c r="C14" s="2"/>
      <c r="D14" s="2"/>
      <c r="E14" s="2"/>
      <c r="F14" s="2"/>
      <c r="G14" s="11"/>
      <c r="H14" s="18"/>
      <c r="I14" s="2" t="s">
        <v>30</v>
      </c>
      <c r="J14" s="2" t="s">
        <v>40</v>
      </c>
      <c r="K14" s="11"/>
      <c r="L14" s="18"/>
      <c r="M14" s="2" t="s">
        <v>35</v>
      </c>
      <c r="N14" s="2" t="s">
        <v>45</v>
      </c>
      <c r="O14" s="11"/>
      <c r="P14" s="11" t="s">
        <v>86</v>
      </c>
      <c r="Q14" s="18"/>
      <c r="R14" s="2"/>
      <c r="S14" s="2"/>
      <c r="T14" s="11"/>
      <c r="U14" s="5" t="s">
        <v>69</v>
      </c>
    </row>
    <row r="15" spans="1:29" ht="17.25" thickBot="1" x14ac:dyDescent="0.35">
      <c r="A15" s="22"/>
      <c r="B15" s="3"/>
      <c r="C15" s="3"/>
      <c r="D15" s="3"/>
      <c r="E15" s="3"/>
      <c r="F15" s="3"/>
      <c r="G15" s="8"/>
      <c r="H15" s="17"/>
      <c r="I15" s="13" t="e">
        <f>MIN(#REF!)</f>
        <v>#REF!</v>
      </c>
      <c r="J15" s="13" t="e">
        <f>MIN(#REF!)</f>
        <v>#REF!</v>
      </c>
      <c r="K15" s="8"/>
      <c r="L15" s="17"/>
      <c r="M15" s="13" t="e">
        <f>MIN(#REF!)</f>
        <v>#REF!</v>
      </c>
      <c r="N15" s="13" t="e">
        <f>MIN(#REF!)</f>
        <v>#REF!</v>
      </c>
      <c r="O15" s="8"/>
      <c r="P15" s="16" t="e">
        <f>MIN(#REF!)</f>
        <v>#REF!</v>
      </c>
      <c r="Q15" s="17"/>
      <c r="R15" s="3"/>
      <c r="S15" s="3"/>
      <c r="T15" s="8"/>
      <c r="U15" s="33" t="e">
        <f>MIN(#REF!)</f>
        <v>#REF!</v>
      </c>
    </row>
    <row r="20" spans="1:18" ht="17.25" thickBot="1" x14ac:dyDescent="0.35"/>
    <row r="21" spans="1:18" x14ac:dyDescent="0.3">
      <c r="A21" s="2"/>
      <c r="B21" s="73" t="s">
        <v>49</v>
      </c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</row>
    <row r="22" spans="1:18" ht="21" thickBot="1" x14ac:dyDescent="0.35">
      <c r="A22" s="65"/>
      <c r="B22" s="75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</row>
    <row r="23" spans="1:18" ht="17.25" thickBot="1" x14ac:dyDescent="0.35">
      <c r="A23" s="2"/>
      <c r="B23" s="66"/>
      <c r="C23" s="23"/>
      <c r="D23" s="23" t="s">
        <v>77</v>
      </c>
      <c r="E23" s="23" t="s">
        <v>20</v>
      </c>
      <c r="F23" s="23"/>
      <c r="G23" s="23"/>
      <c r="H23" s="23"/>
      <c r="I23" s="23" t="s">
        <v>21</v>
      </c>
      <c r="J23" s="23" t="s">
        <v>26</v>
      </c>
      <c r="K23" s="23"/>
      <c r="L23" s="23"/>
      <c r="M23" s="23" t="s">
        <v>22</v>
      </c>
      <c r="N23" s="23" t="s">
        <v>48</v>
      </c>
      <c r="O23" s="23"/>
      <c r="P23" s="23" t="s">
        <v>81</v>
      </c>
      <c r="Q23" s="23" t="s">
        <v>82</v>
      </c>
      <c r="R23" s="23"/>
    </row>
    <row r="24" spans="1:18" x14ac:dyDescent="0.3">
      <c r="A24" s="2"/>
      <c r="B24" s="18"/>
      <c r="C24" s="2"/>
      <c r="D24" s="2" t="s">
        <v>78</v>
      </c>
      <c r="E24" s="2" t="e">
        <f>COUNTIFS(#REF!,"&lt;20")</f>
        <v>#REF!</v>
      </c>
      <c r="F24" s="2"/>
      <c r="G24" s="2"/>
      <c r="H24" s="2"/>
      <c r="I24" s="10" t="e">
        <f>AVERAGEIFS(#REF!,#REF!,"&lt;20")</f>
        <v>#REF!</v>
      </c>
      <c r="J24" s="10" t="e">
        <f t="array" ref="J24">_xlfn.STDEV.S(IF(#REF!&lt;20,#REF!))</f>
        <v>#REF!</v>
      </c>
      <c r="K24" s="10"/>
      <c r="L24" s="2"/>
      <c r="M24" s="10" t="e">
        <f>AVERAGEIFS(#REF!,#REF!,"&lt;20")</f>
        <v>#REF!</v>
      </c>
      <c r="N24" s="10" t="e">
        <f t="array" ref="N24">_xlfn.STDEV.S(IF(#REF!&lt;20,#REF!))</f>
        <v>#REF!</v>
      </c>
      <c r="O24" s="2"/>
      <c r="P24" s="10" t="e">
        <f>AVERAGEIFS(#REF!,#REF!,"&lt;20")</f>
        <v>#REF!</v>
      </c>
      <c r="Q24" s="10" t="e">
        <f t="array" ref="Q24">_xlfn.STDEV.S(IF(#REF!&lt;20,#REF!))</f>
        <v>#REF!</v>
      </c>
      <c r="R24" s="2"/>
    </row>
    <row r="25" spans="1:18" x14ac:dyDescent="0.3">
      <c r="A25" s="2"/>
      <c r="B25" s="18"/>
      <c r="C25" s="2"/>
      <c r="D25" s="2" t="s">
        <v>13</v>
      </c>
      <c r="E25" s="2" t="e">
        <f>COUNTIFS(#REF!,"&gt;=20",#REF!,"&lt;30")</f>
        <v>#REF!</v>
      </c>
      <c r="F25" s="2"/>
      <c r="G25" s="2"/>
      <c r="H25" s="2"/>
      <c r="I25" s="10" t="e">
        <f>AVERAGEIFS(#REF!,#REF!,"&gt;=20",#REF!,"&lt;30")</f>
        <v>#REF!</v>
      </c>
      <c r="J25" s="10" t="e">
        <f t="array" ref="J25">_xlfn.STDEV.S(IF(#REF!&gt;=20,IF(#REF!&lt;30,#REF!)))</f>
        <v>#REF!</v>
      </c>
      <c r="K25" s="10"/>
      <c r="L25" s="2"/>
      <c r="M25" s="10" t="e">
        <f>AVERAGEIFS(#REF!,#REF!,"&gt;=20",#REF!,"&lt;30")</f>
        <v>#REF!</v>
      </c>
      <c r="N25" s="10" t="e">
        <f t="array" ref="N25">_xlfn.STDEV.S(IF(#REF!&gt;=20,IF(#REF!&lt;30,#REF!)))</f>
        <v>#REF!</v>
      </c>
      <c r="O25" s="2"/>
      <c r="P25" s="10" t="e">
        <f>AVERAGEIFS(#REF!,#REF!,"&gt;=20",#REF!,"&lt;30")</f>
        <v>#REF!</v>
      </c>
      <c r="Q25" s="10" t="e">
        <f t="array" ref="Q25">_xlfn.STDEV.S(IF(#REF!&gt;=20,IF(#REF!&lt;30,#REF!)))</f>
        <v>#REF!</v>
      </c>
      <c r="R25" s="2"/>
    </row>
    <row r="26" spans="1:18" x14ac:dyDescent="0.3">
      <c r="A26" s="2"/>
      <c r="B26" s="18"/>
      <c r="C26" s="2"/>
      <c r="D26" s="2" t="s">
        <v>14</v>
      </c>
      <c r="E26" s="2" t="e">
        <f>COUNTIFS(#REF!,"&gt;=30",#REF!,"&lt;40")</f>
        <v>#REF!</v>
      </c>
      <c r="F26" s="2"/>
      <c r="G26" s="2"/>
      <c r="H26" s="2"/>
      <c r="I26" s="10" t="e">
        <f>AVERAGEIFS(#REF!,#REF!,"&gt;=30",#REF!,"&lt;40")</f>
        <v>#REF!</v>
      </c>
      <c r="J26" s="10" t="e">
        <f t="array" ref="J26">_xlfn.STDEV.S(IF(#REF!&gt;=30,IF(#REF!&lt;40,#REF!)))</f>
        <v>#REF!</v>
      </c>
      <c r="K26" s="10"/>
      <c r="L26" s="2"/>
      <c r="M26" s="10" t="e">
        <f>AVERAGEIFS(#REF!,#REF!,"&gt;=30",#REF!,"&lt;40")</f>
        <v>#REF!</v>
      </c>
      <c r="N26" s="10" t="e">
        <f t="array" ref="N26">_xlfn.STDEV.S(IF(#REF!&gt;=30,IF(#REF!&lt;40,#REF!)))</f>
        <v>#REF!</v>
      </c>
      <c r="O26" s="2"/>
      <c r="P26" s="10" t="e">
        <f>AVERAGEIFS(#REF!,#REF!,"&gt;=30",#REF!,"&lt;40")</f>
        <v>#REF!</v>
      </c>
      <c r="Q26" s="10" t="e">
        <f t="array" ref="Q26">_xlfn.STDEV.S(IF(#REF!&gt;=30,IF(#REF!&lt;40,#REF!)))</f>
        <v>#REF!</v>
      </c>
      <c r="R26" s="2"/>
    </row>
    <row r="27" spans="1:18" x14ac:dyDescent="0.3">
      <c r="A27" s="2"/>
      <c r="B27" s="18"/>
      <c r="C27" s="2"/>
      <c r="D27" s="2" t="s">
        <v>15</v>
      </c>
      <c r="E27" s="2" t="e">
        <f>COUNTIFS(#REF!,"&gt;=40",#REF!,"&lt;50")</f>
        <v>#REF!</v>
      </c>
      <c r="F27" s="2"/>
      <c r="G27" s="2"/>
      <c r="H27" s="2"/>
      <c r="I27" s="10" t="e">
        <f>AVERAGEIFS(#REF!,#REF!,"&gt;=40",#REF!,"&lt;50")</f>
        <v>#REF!</v>
      </c>
      <c r="J27" s="10" t="e">
        <f t="array" ref="J27">_xlfn.STDEV.S(IF(#REF!&gt;=40,IF(#REF!&lt;50,#REF!)))</f>
        <v>#REF!</v>
      </c>
      <c r="K27" s="10"/>
      <c r="L27" s="2"/>
      <c r="M27" s="10" t="e">
        <f>AVERAGEIFS(#REF!,#REF!,"&gt;=40",#REF!,"&lt;50")</f>
        <v>#REF!</v>
      </c>
      <c r="N27" s="10" t="e">
        <f t="array" ref="N27">_xlfn.STDEV.S(IF(#REF!&gt;=40,IF(#REF!&lt;50,#REF!)))</f>
        <v>#REF!</v>
      </c>
      <c r="O27" s="2"/>
      <c r="P27" s="10" t="e">
        <f>AVERAGEIFS(#REF!,#REF!,"&gt;=40",#REF!,"&lt;50")</f>
        <v>#REF!</v>
      </c>
      <c r="Q27" s="10" t="e">
        <f t="array" ref="Q27">_xlfn.STDEV.S(IF(#REF!&gt;=40,IF(#REF!&lt;50,#REF!)))</f>
        <v>#REF!</v>
      </c>
      <c r="R27" s="2"/>
    </row>
    <row r="28" spans="1:18" x14ac:dyDescent="0.3">
      <c r="A28" s="2"/>
      <c r="B28" s="18"/>
      <c r="C28" s="2"/>
      <c r="D28" s="2" t="s">
        <v>16</v>
      </c>
      <c r="E28" s="2" t="e">
        <f>COUNTIFS(#REF!,"&gt;=50",#REF!,"&lt;60")</f>
        <v>#REF!</v>
      </c>
      <c r="F28" s="2"/>
      <c r="G28" s="2"/>
      <c r="H28" s="2"/>
      <c r="I28" s="10" t="e">
        <f>AVERAGEIFS(#REF!,#REF!,"&gt;=50",#REF!,"&lt;60")</f>
        <v>#REF!</v>
      </c>
      <c r="J28" s="10" t="e">
        <f t="array" ref="J28">_xlfn.STDEV.S(IF(#REF!&gt;=50,IF(#REF!&lt;60,#REF!)))</f>
        <v>#REF!</v>
      </c>
      <c r="K28" s="10"/>
      <c r="L28" s="2"/>
      <c r="M28" s="10" t="e">
        <f>AVERAGEIFS(#REF!,#REF!,"&gt;=50",#REF!,"&lt;60")</f>
        <v>#REF!</v>
      </c>
      <c r="N28" s="10" t="e">
        <f t="array" ref="N28">_xlfn.STDEV.S(IF(#REF!&gt;=50,IF(#REF!&lt;60,#REF!)))</f>
        <v>#REF!</v>
      </c>
      <c r="O28" s="2"/>
      <c r="P28" s="10" t="e">
        <f>AVERAGEIFS(#REF!,#REF!,"&gt;=50",#REF!,"&lt;60")</f>
        <v>#REF!</v>
      </c>
      <c r="Q28" s="10" t="e">
        <f t="array" ref="Q28">_xlfn.STDEV.S(IF(#REF!&gt;=50,IF(#REF!&lt;60,#REF!)))</f>
        <v>#REF!</v>
      </c>
      <c r="R28" s="2"/>
    </row>
    <row r="29" spans="1:18" x14ac:dyDescent="0.3">
      <c r="A29" s="2"/>
      <c r="B29" s="18"/>
      <c r="C29" s="2"/>
      <c r="D29" s="2" t="s">
        <v>17</v>
      </c>
      <c r="E29" s="2" t="e">
        <f>COUNTIFS(#REF!,"&gt;=60",#REF!,"&lt;70")</f>
        <v>#REF!</v>
      </c>
      <c r="F29" s="2"/>
      <c r="G29" s="2"/>
      <c r="H29" s="2"/>
      <c r="I29" s="10" t="e">
        <f>AVERAGEIFS(#REF!,#REF!,"&gt;=60",#REF!,"&lt;70")</f>
        <v>#REF!</v>
      </c>
      <c r="J29" s="10" t="e">
        <f t="array" ref="J29">_xlfn.STDEV.S(IF(#REF!&gt;=60,IF(#REF!&lt;70,#REF!)))</f>
        <v>#REF!</v>
      </c>
      <c r="K29" s="10"/>
      <c r="L29" s="2"/>
      <c r="M29" s="10" t="e">
        <f>AVERAGEIFS(#REF!,#REF!,"&gt;=60",#REF!,"&lt;70")</f>
        <v>#REF!</v>
      </c>
      <c r="N29" s="10" t="e">
        <f t="array" ref="N29">_xlfn.STDEV.S(IF(#REF!&gt;=60,IF(#REF!&lt;70,#REF!)))</f>
        <v>#REF!</v>
      </c>
      <c r="O29" s="2"/>
      <c r="P29" s="10" t="e">
        <f>AVERAGEIFS(#REF!,#REF!,"&gt;=60",#REF!,"&lt;70")</f>
        <v>#REF!</v>
      </c>
      <c r="Q29" s="10" t="e">
        <f t="array" ref="Q29">_xlfn.STDEV.S(IF(#REF!&gt;=60,IF(#REF!&lt;70,#REF!)))</f>
        <v>#REF!</v>
      </c>
      <c r="R29" s="2"/>
    </row>
    <row r="30" spans="1:18" x14ac:dyDescent="0.3">
      <c r="A30" s="2"/>
      <c r="B30" s="18"/>
      <c r="C30" s="2"/>
      <c r="D30" s="2" t="s">
        <v>18</v>
      </c>
      <c r="E30" s="2" t="e">
        <f>COUNTIFS(#REF!,"&gt;=70",#REF!,"&lt;80")</f>
        <v>#REF!</v>
      </c>
      <c r="F30" s="2"/>
      <c r="G30" s="2"/>
      <c r="H30" s="2"/>
      <c r="I30" s="10" t="e">
        <f>AVERAGEIFS(#REF!,#REF!,"&gt;=70",#REF!,"&lt;80")</f>
        <v>#REF!</v>
      </c>
      <c r="J30" s="10" t="e">
        <f t="array" ref="J30">_xlfn.STDEV.S(IF(#REF!&gt;=70,IF(#REF!&lt;80,#REF!)))</f>
        <v>#REF!</v>
      </c>
      <c r="K30" s="10"/>
      <c r="L30" s="2"/>
      <c r="M30" s="10" t="e">
        <f>AVERAGEIFS(#REF!,#REF!,"&gt;=70",#REF!,"&lt;80")</f>
        <v>#REF!</v>
      </c>
      <c r="N30" s="10" t="e">
        <f t="array" ref="N30">_xlfn.STDEV.S(IF(#REF!&gt;=70,IF(#REF!&lt;80,#REF!)))</f>
        <v>#REF!</v>
      </c>
      <c r="O30" s="2"/>
      <c r="P30" s="10" t="e">
        <f>AVERAGEIFS(#REF!,#REF!,"&gt;=70",#REF!,"&lt;80")</f>
        <v>#REF!</v>
      </c>
      <c r="Q30" s="10" t="e">
        <f t="array" ref="Q30">_xlfn.STDEV.S(IF(#REF!&gt;=70,IF(#REF!&lt;80,#REF!)))</f>
        <v>#REF!</v>
      </c>
      <c r="R30" s="2"/>
    </row>
    <row r="31" spans="1:18" ht="17.25" thickBot="1" x14ac:dyDescent="0.35">
      <c r="A31" s="2"/>
      <c r="B31" s="18"/>
      <c r="C31" s="2"/>
      <c r="D31" s="2" t="s">
        <v>79</v>
      </c>
      <c r="E31" s="2" t="e">
        <f>COUNTIFS(#REF!,"&gt;=80")</f>
        <v>#REF!</v>
      </c>
      <c r="F31" s="2"/>
      <c r="G31" s="2"/>
      <c r="H31" s="2"/>
      <c r="I31" s="10" t="e">
        <f>AVERAGEIFS(#REF!,#REF!,"&gt;=80")</f>
        <v>#REF!</v>
      </c>
      <c r="J31" s="10" t="e">
        <f t="array" ref="J31">_xlfn.STDEV.S(IF(#REF!&gt;=80,#REF!))</f>
        <v>#REF!</v>
      </c>
      <c r="K31" s="10"/>
      <c r="L31" s="2"/>
      <c r="M31" s="10" t="e">
        <f>AVERAGEIFS(#REF!,#REF!,"&gt;=80")</f>
        <v>#REF!</v>
      </c>
      <c r="N31" s="10" t="e">
        <f t="array" ref="N31">_xlfn.STDEV.S(IF(#REF!&gt;=80,#REF!))</f>
        <v>#REF!</v>
      </c>
      <c r="O31" s="2"/>
      <c r="P31" s="10" t="e">
        <f>AVERAGEIFS(#REF!,#REF!,"&gt;=80")</f>
        <v>#REF!</v>
      </c>
      <c r="Q31" s="10" t="e">
        <f t="array" ref="Q31">_xlfn.STDEV.S(IF(#REF!&gt;=80,#REF!))</f>
        <v>#REF!</v>
      </c>
      <c r="R31" s="2"/>
    </row>
    <row r="32" spans="1:18" ht="17.25" thickBot="1" x14ac:dyDescent="0.35">
      <c r="A32" s="2"/>
      <c r="B32" s="66"/>
      <c r="C32" s="23"/>
      <c r="D32" s="23" t="s">
        <v>12</v>
      </c>
      <c r="E32" s="23" t="e">
        <f>SUM(E24:E31)</f>
        <v>#REF!</v>
      </c>
      <c r="F32" s="23"/>
      <c r="G32" s="23"/>
      <c r="H32" s="23"/>
      <c r="I32" s="24" t="e">
        <f>AVERAGE(#REF!)</f>
        <v>#REF!</v>
      </c>
      <c r="J32" s="24" t="e">
        <f>_xlfn.STDEV.S(#REF!)</f>
        <v>#REF!</v>
      </c>
      <c r="K32" s="23"/>
      <c r="L32" s="23"/>
      <c r="M32" s="24" t="e">
        <f>AVERAGE(#REF!)</f>
        <v>#REF!</v>
      </c>
      <c r="N32" s="24" t="e">
        <f>_xlfn.STDEV.S(#REF!)</f>
        <v>#REF!</v>
      </c>
      <c r="O32" s="23"/>
      <c r="P32" s="24" t="e">
        <f>AVERAGE(#REF!)</f>
        <v>#REF!</v>
      </c>
      <c r="Q32" s="24" t="e">
        <f>_xlfn.STDEV.S(#REF!)</f>
        <v>#REF!</v>
      </c>
      <c r="R32" s="24"/>
    </row>
    <row r="33" spans="9:9" x14ac:dyDescent="0.3">
      <c r="I33" s="1"/>
    </row>
    <row r="205" ht="16.5" customHeight="1" x14ac:dyDescent="0.3"/>
    <row r="206" ht="17.25" customHeight="1" x14ac:dyDescent="0.3"/>
    <row r="684" ht="17.100000000000001" customHeight="1" x14ac:dyDescent="0.3"/>
    <row r="685" ht="17.45" customHeight="1" x14ac:dyDescent="0.3"/>
    <row r="2178" spans="22:22" ht="17.25" thickBot="1" x14ac:dyDescent="0.35"/>
    <row r="2179" spans="22:22" ht="17.25" thickBot="1" x14ac:dyDescent="0.35">
      <c r="V2179" s="48" t="e">
        <f>COUNTIF(#REF!,U$11)/C$10</f>
        <v>#REF!</v>
      </c>
    </row>
  </sheetData>
  <mergeCells count="16">
    <mergeCell ref="S1:S2"/>
    <mergeCell ref="T1:T2"/>
    <mergeCell ref="U1:U2"/>
    <mergeCell ref="B21:R22"/>
    <mergeCell ref="G1:G2"/>
    <mergeCell ref="H1:K1"/>
    <mergeCell ref="L1:O1"/>
    <mergeCell ref="P1:P2"/>
    <mergeCell ref="Q1:Q2"/>
    <mergeCell ref="R1:R2"/>
    <mergeCell ref="A1:A2"/>
    <mergeCell ref="B1:B2"/>
    <mergeCell ref="C1:C2"/>
    <mergeCell ref="D1:D2"/>
    <mergeCell ref="E1:E2"/>
    <mergeCell ref="F1:F2"/>
  </mergeCells>
  <phoneticPr fontId="1" type="noConversion"/>
  <conditionalFormatting sqref="W4:W19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W65"/>
  <sheetViews>
    <sheetView zoomScale="55" zoomScaleNormal="100" workbookViewId="0">
      <selection activeCell="G104" sqref="G104"/>
    </sheetView>
  </sheetViews>
  <sheetFormatPr defaultColWidth="9" defaultRowHeight="16.5" x14ac:dyDescent="0.3"/>
  <cols>
    <col min="1" max="1" width="9" style="1"/>
    <col min="2" max="2" width="14.625" style="1" bestFit="1" customWidth="1"/>
    <col min="3" max="3" width="18.875" style="1" bestFit="1" customWidth="1"/>
    <col min="4" max="4" width="8.125" style="51" customWidth="1"/>
    <col min="5" max="5" width="18.75" style="26" bestFit="1" customWidth="1"/>
    <col min="6" max="6" width="8.125" style="51" bestFit="1" customWidth="1"/>
    <col min="7" max="7" width="18.125" style="1" bestFit="1" customWidth="1"/>
    <col min="8" max="8" width="8.125" style="51" bestFit="1" customWidth="1"/>
    <col min="9" max="9" width="18" style="1" bestFit="1" customWidth="1"/>
    <col min="10" max="10" width="8.125" style="51" bestFit="1" customWidth="1"/>
    <col min="11" max="11" width="13.5" style="1" bestFit="1" customWidth="1"/>
    <col min="12" max="12" width="14.625" style="1" bestFit="1" customWidth="1"/>
    <col min="13" max="13" width="8.125" style="51" customWidth="1"/>
    <col min="14" max="14" width="2.875" style="1" customWidth="1"/>
    <col min="15" max="15" width="2.5" style="1" bestFit="1" customWidth="1"/>
    <col min="24" max="16384" width="9" style="1"/>
  </cols>
  <sheetData>
    <row r="2" spans="1:14" ht="17.25" thickBot="1" x14ac:dyDescent="0.35"/>
    <row r="3" spans="1:14" ht="34.5" thickBot="1" x14ac:dyDescent="0.35">
      <c r="B3" s="95" t="s">
        <v>70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7"/>
    </row>
    <row r="4" spans="1:14" ht="17.25" thickBot="1" x14ac:dyDescent="0.35">
      <c r="A4" s="9"/>
      <c r="B4" s="9"/>
      <c r="C4" s="9"/>
      <c r="D4" s="49"/>
      <c r="E4" s="28"/>
      <c r="F4" s="49"/>
      <c r="G4" s="9"/>
      <c r="H4" s="49"/>
      <c r="I4" s="9"/>
      <c r="J4" s="49"/>
      <c r="K4" s="9"/>
    </row>
    <row r="5" spans="1:14" ht="26.25" x14ac:dyDescent="0.3">
      <c r="A5" s="9"/>
      <c r="B5" s="31" t="s">
        <v>58</v>
      </c>
      <c r="C5" s="94" t="s">
        <v>73</v>
      </c>
      <c r="D5" s="94"/>
      <c r="E5" s="94"/>
      <c r="F5" s="94"/>
      <c r="G5" s="94" t="s">
        <v>75</v>
      </c>
      <c r="H5" s="94"/>
      <c r="I5" s="94"/>
      <c r="J5" s="94"/>
      <c r="K5" s="41" t="s">
        <v>76</v>
      </c>
      <c r="L5" s="92" t="s">
        <v>80</v>
      </c>
      <c r="M5" s="93"/>
      <c r="N5" s="9"/>
    </row>
    <row r="6" spans="1:14" x14ac:dyDescent="0.3">
      <c r="A6" s="9"/>
      <c r="B6" s="27" t="e">
        <f>#REF!</f>
        <v>#REF!</v>
      </c>
      <c r="C6" s="9" t="e">
        <f>#REF!</f>
        <v>#REF!</v>
      </c>
      <c r="D6" s="49"/>
      <c r="E6" s="9" t="e">
        <f>#REF!</f>
        <v>#REF!</v>
      </c>
      <c r="F6" s="49"/>
      <c r="G6" s="9" t="e">
        <f>#REF!</f>
        <v>#REF!</v>
      </c>
      <c r="H6" s="49"/>
      <c r="I6" s="9" t="e">
        <f>#REF!</f>
        <v>#REF!</v>
      </c>
      <c r="J6" s="49"/>
      <c r="K6" s="9" t="e">
        <f>#REF!</f>
        <v>#REF!</v>
      </c>
      <c r="L6" s="35" t="e">
        <f>#REF!</f>
        <v>#REF!</v>
      </c>
      <c r="M6" s="47"/>
      <c r="N6" s="9"/>
    </row>
    <row r="7" spans="1:14" x14ac:dyDescent="0.3">
      <c r="A7" s="9"/>
      <c r="B7" s="36" t="e">
        <f>#REF!</f>
        <v>#REF!</v>
      </c>
      <c r="C7" s="9" t="e">
        <f>#REF!</f>
        <v>#REF!</v>
      </c>
      <c r="D7" s="49"/>
      <c r="E7" s="9" t="e">
        <f>#REF!</f>
        <v>#REF!</v>
      </c>
      <c r="F7" s="49"/>
      <c r="G7" s="9" t="e">
        <f>#REF!</f>
        <v>#REF!</v>
      </c>
      <c r="H7" s="49"/>
      <c r="I7" s="9" t="e">
        <f>#REF!</f>
        <v>#REF!</v>
      </c>
      <c r="J7" s="49"/>
      <c r="K7" s="9" t="e">
        <f>#REF!</f>
        <v>#REF!</v>
      </c>
      <c r="L7" s="35" t="e">
        <f>#REF!</f>
        <v>#REF!</v>
      </c>
      <c r="M7" s="47"/>
      <c r="N7" s="9"/>
    </row>
    <row r="8" spans="1:14" x14ac:dyDescent="0.3">
      <c r="A8" s="9"/>
      <c r="B8" s="27" t="e">
        <f>#REF!</f>
        <v>#REF!</v>
      </c>
      <c r="C8" s="9" t="e">
        <f>#REF!</f>
        <v>#REF!</v>
      </c>
      <c r="D8" s="49"/>
      <c r="E8" s="9" t="e">
        <f>#REF!</f>
        <v>#REF!</v>
      </c>
      <c r="F8" s="49"/>
      <c r="G8" s="9" t="e">
        <f>#REF!</f>
        <v>#REF!</v>
      </c>
      <c r="H8" s="49"/>
      <c r="I8" s="9" t="e">
        <f>#REF!</f>
        <v>#REF!</v>
      </c>
      <c r="J8" s="49"/>
      <c r="K8" s="9" t="e">
        <f>#REF!</f>
        <v>#REF!</v>
      </c>
      <c r="L8" s="35" t="e">
        <f>#REF!</f>
        <v>#REF!</v>
      </c>
      <c r="M8" s="47"/>
      <c r="N8" s="9"/>
    </row>
    <row r="9" spans="1:14" x14ac:dyDescent="0.3">
      <c r="A9" s="9"/>
      <c r="B9" s="36" t="e">
        <f>#REF!</f>
        <v>#REF!</v>
      </c>
      <c r="C9" s="9" t="e">
        <f>#REF!</f>
        <v>#REF!</v>
      </c>
      <c r="D9" s="49"/>
      <c r="E9" s="9" t="e">
        <f>#REF!</f>
        <v>#REF!</v>
      </c>
      <c r="F9" s="49"/>
      <c r="G9" s="9" t="e">
        <f>#REF!</f>
        <v>#REF!</v>
      </c>
      <c r="H9" s="49"/>
      <c r="I9" s="9" t="e">
        <f>#REF!</f>
        <v>#REF!</v>
      </c>
      <c r="J9" s="49"/>
      <c r="K9" s="9" t="e">
        <f>#REF!</f>
        <v>#REF!</v>
      </c>
      <c r="L9" s="35" t="e">
        <f>#REF!</f>
        <v>#REF!</v>
      </c>
      <c r="M9" s="47"/>
      <c r="N9" s="9"/>
    </row>
    <row r="10" spans="1:14" x14ac:dyDescent="0.3">
      <c r="A10" s="9"/>
      <c r="B10" s="27" t="e">
        <f>#REF!</f>
        <v>#REF!</v>
      </c>
      <c r="C10" s="9" t="e">
        <f>#REF!</f>
        <v>#REF!</v>
      </c>
      <c r="D10" s="49"/>
      <c r="E10" s="9" t="e">
        <f>#REF!</f>
        <v>#REF!</v>
      </c>
      <c r="F10" s="49"/>
      <c r="G10" s="9" t="e">
        <f>#REF!</f>
        <v>#REF!</v>
      </c>
      <c r="H10" s="49"/>
      <c r="I10" s="9" t="e">
        <f>#REF!</f>
        <v>#REF!</v>
      </c>
      <c r="J10" s="49"/>
      <c r="K10" s="9" t="e">
        <f>#REF!</f>
        <v>#REF!</v>
      </c>
      <c r="L10" s="35" t="e">
        <f>#REF!</f>
        <v>#REF!</v>
      </c>
      <c r="M10" s="47"/>
      <c r="N10" s="9"/>
    </row>
    <row r="11" spans="1:14" x14ac:dyDescent="0.3">
      <c r="A11" s="9"/>
      <c r="B11" s="36" t="e">
        <f>#REF!</f>
        <v>#REF!</v>
      </c>
      <c r="C11" s="9" t="e">
        <f>#REF!</f>
        <v>#REF!</v>
      </c>
      <c r="D11" s="49"/>
      <c r="E11" s="9" t="e">
        <f>#REF!</f>
        <v>#REF!</v>
      </c>
      <c r="F11" s="49"/>
      <c r="G11" s="9" t="e">
        <f>#REF!</f>
        <v>#REF!</v>
      </c>
      <c r="H11" s="49"/>
      <c r="I11" s="9" t="e">
        <f>#REF!</f>
        <v>#REF!</v>
      </c>
      <c r="J11" s="49"/>
      <c r="K11" s="9" t="e">
        <f>#REF!</f>
        <v>#REF!</v>
      </c>
      <c r="L11" s="35" t="e">
        <f>#REF!</f>
        <v>#REF!</v>
      </c>
      <c r="M11" s="47"/>
      <c r="N11" s="9"/>
    </row>
    <row r="12" spans="1:14" x14ac:dyDescent="0.3">
      <c r="A12" s="9"/>
      <c r="B12" s="27"/>
      <c r="C12" s="86" t="e">
        <f>#REF!</f>
        <v>#REF!</v>
      </c>
      <c r="D12" s="86"/>
      <c r="E12" s="86" t="e">
        <f>#REF!</f>
        <v>#REF!</v>
      </c>
      <c r="F12" s="86"/>
      <c r="G12" s="86" t="e">
        <f>#REF!</f>
        <v>#REF!</v>
      </c>
      <c r="H12" s="86"/>
      <c r="I12" s="86" t="e">
        <f>#REF!</f>
        <v>#REF!</v>
      </c>
      <c r="J12" s="86"/>
      <c r="K12" s="44" t="e">
        <f>#REF!</f>
        <v>#REF!</v>
      </c>
      <c r="L12" s="87" t="e">
        <f>#REF!</f>
        <v>#REF!</v>
      </c>
      <c r="M12" s="88"/>
      <c r="N12" s="9"/>
    </row>
    <row r="13" spans="1:14" x14ac:dyDescent="0.3">
      <c r="A13" s="9"/>
      <c r="B13" s="27"/>
      <c r="C13" s="9" t="e">
        <f>#REF!</f>
        <v>#REF!</v>
      </c>
      <c r="D13" s="49" t="e">
        <f>#REF!</f>
        <v>#REF!</v>
      </c>
      <c r="E13" s="9" t="e">
        <f>#REF!</f>
        <v>#REF!</v>
      </c>
      <c r="F13" s="49" t="e">
        <f>#REF!</f>
        <v>#REF!</v>
      </c>
      <c r="G13" s="9" t="e">
        <f>#REF!</f>
        <v>#REF!</v>
      </c>
      <c r="H13" s="49" t="e">
        <f>#REF!</f>
        <v>#REF!</v>
      </c>
      <c r="I13" s="9" t="e">
        <f>#REF!</f>
        <v>#REF!</v>
      </c>
      <c r="J13" s="49" t="e">
        <f>#REF!</f>
        <v>#REF!</v>
      </c>
      <c r="K13" s="9" t="e">
        <f>#REF!</f>
        <v>#REF!</v>
      </c>
      <c r="L13" s="35" t="e">
        <f>#REF!</f>
        <v>#REF!</v>
      </c>
      <c r="M13" s="47" t="e">
        <f>#REF!</f>
        <v>#REF!</v>
      </c>
      <c r="N13" s="9"/>
    </row>
    <row r="14" spans="1:14" x14ac:dyDescent="0.3">
      <c r="A14" s="9"/>
      <c r="B14" s="27"/>
      <c r="C14" s="9" t="e">
        <f>#REF!</f>
        <v>#REF!</v>
      </c>
      <c r="D14" s="49"/>
      <c r="E14" s="9" t="e">
        <f>#REF!</f>
        <v>#REF!</v>
      </c>
      <c r="F14" s="49"/>
      <c r="G14" s="9" t="e">
        <f>#REF!</f>
        <v>#REF!</v>
      </c>
      <c r="H14" s="49"/>
      <c r="I14" s="9" t="e">
        <f>#REF!</f>
        <v>#REF!</v>
      </c>
      <c r="J14" s="49"/>
      <c r="K14" s="9" t="e">
        <f>#REF!</f>
        <v>#REF!</v>
      </c>
      <c r="L14" s="35" t="e">
        <f>#REF!</f>
        <v>#REF!</v>
      </c>
      <c r="M14" s="47"/>
      <c r="N14" s="9"/>
    </row>
    <row r="15" spans="1:14" x14ac:dyDescent="0.3">
      <c r="A15" s="9"/>
      <c r="B15" s="27"/>
      <c r="C15" s="9" t="e">
        <f>#REF!</f>
        <v>#REF!</v>
      </c>
      <c r="D15" s="49"/>
      <c r="E15" s="9" t="e">
        <f>#REF!</f>
        <v>#REF!</v>
      </c>
      <c r="F15" s="49"/>
      <c r="G15" s="9" t="e">
        <f>#REF!</f>
        <v>#REF!</v>
      </c>
      <c r="H15" s="49"/>
      <c r="I15" s="9" t="e">
        <f>#REF!</f>
        <v>#REF!</v>
      </c>
      <c r="J15" s="49"/>
      <c r="K15" s="9" t="e">
        <f>#REF!</f>
        <v>#REF!</v>
      </c>
      <c r="L15" s="35" t="e">
        <f>#REF!</f>
        <v>#REF!</v>
      </c>
      <c r="M15" s="47"/>
      <c r="N15" s="9"/>
    </row>
    <row r="16" spans="1:14" x14ac:dyDescent="0.3">
      <c r="A16" s="9"/>
      <c r="B16" s="27"/>
      <c r="C16" s="9" t="e">
        <f>#REF!</f>
        <v>#REF!</v>
      </c>
      <c r="D16" s="49"/>
      <c r="E16" s="9" t="e">
        <f>#REF!</f>
        <v>#REF!</v>
      </c>
      <c r="F16" s="49"/>
      <c r="G16" s="9" t="e">
        <f>#REF!</f>
        <v>#REF!</v>
      </c>
      <c r="H16" s="49"/>
      <c r="I16" s="9" t="e">
        <f>#REF!</f>
        <v>#REF!</v>
      </c>
      <c r="J16" s="49"/>
      <c r="K16" s="9" t="e">
        <f>#REF!</f>
        <v>#REF!</v>
      </c>
      <c r="L16" s="35" t="e">
        <f>#REF!</f>
        <v>#REF!</v>
      </c>
      <c r="M16" s="47"/>
      <c r="N16" s="9"/>
    </row>
    <row r="17" spans="1:14" x14ac:dyDescent="0.3">
      <c r="A17" s="9"/>
      <c r="B17" s="27"/>
      <c r="C17" s="9" t="e">
        <f>#REF!</f>
        <v>#REF!</v>
      </c>
      <c r="D17" s="49"/>
      <c r="E17" s="9" t="e">
        <f>#REF!</f>
        <v>#REF!</v>
      </c>
      <c r="F17" s="49"/>
      <c r="G17" s="9" t="e">
        <f>#REF!</f>
        <v>#REF!</v>
      </c>
      <c r="H17" s="49"/>
      <c r="I17" s="9" t="e">
        <f>#REF!</f>
        <v>#REF!</v>
      </c>
      <c r="J17" s="49"/>
      <c r="K17" s="9" t="e">
        <f>#REF!</f>
        <v>#REF!</v>
      </c>
      <c r="L17" s="35" t="e">
        <f>#REF!</f>
        <v>#REF!</v>
      </c>
      <c r="M17" s="47"/>
      <c r="N17" s="9"/>
    </row>
    <row r="18" spans="1:14" x14ac:dyDescent="0.3">
      <c r="A18" s="9"/>
      <c r="B18" s="27"/>
      <c r="C18" s="9"/>
      <c r="D18" s="49"/>
      <c r="E18" s="28"/>
      <c r="F18" s="49"/>
      <c r="G18" s="9"/>
      <c r="H18" s="49"/>
      <c r="I18" s="9"/>
      <c r="J18" s="49"/>
      <c r="K18" s="9"/>
      <c r="L18" s="35"/>
      <c r="M18" s="47"/>
      <c r="N18" s="9"/>
    </row>
    <row r="19" spans="1:14" ht="26.25" x14ac:dyDescent="0.3">
      <c r="A19" s="9"/>
      <c r="B19" s="30" t="s">
        <v>54</v>
      </c>
      <c r="C19" s="90" t="s">
        <v>73</v>
      </c>
      <c r="D19" s="91"/>
      <c r="E19" s="91"/>
      <c r="F19" s="49"/>
      <c r="G19" s="90" t="s">
        <v>75</v>
      </c>
      <c r="H19" s="91"/>
      <c r="I19" s="91"/>
      <c r="J19" s="49"/>
      <c r="K19" s="42" t="s">
        <v>76</v>
      </c>
      <c r="L19" s="35"/>
      <c r="M19" s="47"/>
      <c r="N19" s="9"/>
    </row>
    <row r="20" spans="1:14" x14ac:dyDescent="0.3">
      <c r="A20" s="9"/>
      <c r="B20" s="27" t="str">
        <f>NMCT670!C5</f>
        <v>M</v>
      </c>
      <c r="C20" s="9" t="str">
        <f>NMCT670!I4</f>
        <v>Mean_Femur Avg</v>
      </c>
      <c r="D20" s="49"/>
      <c r="E20" s="9" t="str">
        <f>NMCT670!J4</f>
        <v>Mean_Femur STD</v>
      </c>
      <c r="F20" s="49"/>
      <c r="G20" s="9" t="str">
        <f>NMCT670!M4</f>
        <v>Mean_Thigh Avg</v>
      </c>
      <c r="H20" s="49"/>
      <c r="I20" s="9" t="str">
        <f>NMCT670!N4</f>
        <v>Mean_Thigh STD</v>
      </c>
      <c r="J20" s="49"/>
      <c r="K20" s="9" t="str">
        <f>NMCT670!P4</f>
        <v>Mean_Ratio</v>
      </c>
      <c r="L20" s="35" t="str">
        <f>NMCT670!U4</f>
        <v>Mean_Interv.</v>
      </c>
      <c r="M20" s="47"/>
      <c r="N20" s="9"/>
    </row>
    <row r="21" spans="1:14" x14ac:dyDescent="0.3">
      <c r="A21" s="9"/>
      <c r="B21" s="36" t="e">
        <f>NMCT670!C6</f>
        <v>#REF!</v>
      </c>
      <c r="C21" s="9" t="e">
        <f>NMCT670!I5</f>
        <v>#REF!</v>
      </c>
      <c r="D21" s="49"/>
      <c r="E21" s="9" t="e">
        <f>NMCT670!J5</f>
        <v>#REF!</v>
      </c>
      <c r="F21" s="49"/>
      <c r="G21" s="9" t="e">
        <f>NMCT670!M5</f>
        <v>#REF!</v>
      </c>
      <c r="H21" s="49"/>
      <c r="I21" s="9" t="e">
        <f>NMCT670!N5</f>
        <v>#REF!</v>
      </c>
      <c r="J21" s="49"/>
      <c r="K21" s="9" t="e">
        <f>NMCT670!P5</f>
        <v>#REF!</v>
      </c>
      <c r="L21" s="35" t="e">
        <f>NMCT670!U5</f>
        <v>#REF!</v>
      </c>
      <c r="M21" s="47"/>
      <c r="N21" s="9"/>
    </row>
    <row r="22" spans="1:14" x14ac:dyDescent="0.3">
      <c r="A22" s="9"/>
      <c r="B22" s="27" t="str">
        <f>NMCT670!C7</f>
        <v>F</v>
      </c>
      <c r="C22" s="9" t="str">
        <f>NMCT670!I6</f>
        <v>STD_Femur Avg</v>
      </c>
      <c r="D22" s="49"/>
      <c r="E22" s="9" t="str">
        <f>NMCT670!J6</f>
        <v>STD_Femur STD</v>
      </c>
      <c r="F22" s="49"/>
      <c r="G22" s="9" t="str">
        <f>NMCT670!M6</f>
        <v>STD_Thigh Avg</v>
      </c>
      <c r="H22" s="49"/>
      <c r="I22" s="9" t="str">
        <f>NMCT670!N6</f>
        <v>STD_Thigh STD</v>
      </c>
      <c r="J22" s="49"/>
      <c r="K22" s="9" t="str">
        <f>NMCT670!P6</f>
        <v>STD_Ratio</v>
      </c>
      <c r="L22" s="35" t="str">
        <f>NMCT670!U6</f>
        <v>STD_Interv.</v>
      </c>
      <c r="M22" s="47"/>
      <c r="N22" s="9"/>
    </row>
    <row r="23" spans="1:14" x14ac:dyDescent="0.3">
      <c r="A23" s="9"/>
      <c r="B23" s="36" t="e">
        <f>NMCT670!C8</f>
        <v>#REF!</v>
      </c>
      <c r="C23" s="9" t="e">
        <f>NMCT670!I7</f>
        <v>#REF!</v>
      </c>
      <c r="D23" s="49"/>
      <c r="E23" s="9" t="e">
        <f>NMCT670!J7</f>
        <v>#REF!</v>
      </c>
      <c r="F23" s="49"/>
      <c r="G23" s="9" t="e">
        <f>NMCT670!M7</f>
        <v>#REF!</v>
      </c>
      <c r="H23" s="49"/>
      <c r="I23" s="9" t="e">
        <f>NMCT670!N7</f>
        <v>#REF!</v>
      </c>
      <c r="J23" s="49"/>
      <c r="K23" s="9" t="e">
        <f>NMCT670!P7</f>
        <v>#REF!</v>
      </c>
      <c r="L23" s="35" t="e">
        <f>NMCT670!U7</f>
        <v>#REF!</v>
      </c>
      <c r="M23" s="47"/>
      <c r="N23" s="9"/>
    </row>
    <row r="24" spans="1:14" x14ac:dyDescent="0.3">
      <c r="A24" s="9"/>
      <c r="B24" s="27" t="str">
        <f>NMCT670!C9</f>
        <v>Total</v>
      </c>
      <c r="C24" s="9" t="str">
        <f>NMCT670!I8</f>
        <v>Max_Femur Avg</v>
      </c>
      <c r="D24" s="49"/>
      <c r="E24" s="9" t="str">
        <f>NMCT670!J8</f>
        <v>Max_Femur STD</v>
      </c>
      <c r="F24" s="49"/>
      <c r="G24" s="9" t="str">
        <f>NMCT670!M8</f>
        <v>Max_Thigh Avg</v>
      </c>
      <c r="H24" s="49"/>
      <c r="I24" s="9" t="str">
        <f>NMCT670!N8</f>
        <v>Max_Thigh STD</v>
      </c>
      <c r="J24" s="49"/>
      <c r="K24" s="9" t="str">
        <f>NMCT670!P8</f>
        <v>Max_Ratio</v>
      </c>
      <c r="L24" s="35" t="str">
        <f>NMCT670!U8</f>
        <v>Max_Interv.</v>
      </c>
      <c r="M24" s="47"/>
      <c r="N24" s="9"/>
    </row>
    <row r="25" spans="1:14" x14ac:dyDescent="0.3">
      <c r="A25" s="9"/>
      <c r="B25" s="36" t="e">
        <f>NMCT670!C10</f>
        <v>#REF!</v>
      </c>
      <c r="C25" s="9" t="e">
        <f>NMCT670!I9</f>
        <v>#REF!</v>
      </c>
      <c r="D25" s="49"/>
      <c r="E25" s="9" t="e">
        <f>NMCT670!J9</f>
        <v>#REF!</v>
      </c>
      <c r="F25" s="49"/>
      <c r="G25" s="9" t="e">
        <f>NMCT670!M9</f>
        <v>#REF!</v>
      </c>
      <c r="H25" s="49"/>
      <c r="I25" s="9" t="e">
        <f>NMCT670!N9</f>
        <v>#REF!</v>
      </c>
      <c r="J25" s="49"/>
      <c r="K25" s="9" t="e">
        <f>NMCT670!P9</f>
        <v>#REF!</v>
      </c>
      <c r="L25" s="35" t="e">
        <f>NMCT670!U9</f>
        <v>#REF!</v>
      </c>
      <c r="M25" s="47"/>
      <c r="N25" s="9"/>
    </row>
    <row r="26" spans="1:14" x14ac:dyDescent="0.3">
      <c r="A26" s="9"/>
      <c r="B26" s="27"/>
      <c r="C26" s="86" t="str">
        <f>NMCT670!I10</f>
        <v>Mode_Femur Avg</v>
      </c>
      <c r="D26" s="86"/>
      <c r="E26" s="86" t="str">
        <f>NMCT670!J10</f>
        <v>Mode_Femur STD</v>
      </c>
      <c r="F26" s="86"/>
      <c r="G26" s="86" t="str">
        <f>NMCT670!M10</f>
        <v>Mode_Thigh Avg</v>
      </c>
      <c r="H26" s="86"/>
      <c r="I26" s="86" t="str">
        <f>NMCT670!N10</f>
        <v>Mode_Thigh STD</v>
      </c>
      <c r="J26" s="86"/>
      <c r="K26" s="44" t="str">
        <f>NMCT670!P10</f>
        <v>Mode_Ratio</v>
      </c>
      <c r="L26" s="87" t="str">
        <f>NMCT670!U10</f>
        <v>Mode_Interv.</v>
      </c>
      <c r="M26" s="88"/>
      <c r="N26" s="9"/>
    </row>
    <row r="27" spans="1:14" x14ac:dyDescent="0.3">
      <c r="A27" s="9"/>
      <c r="B27" s="27"/>
      <c r="C27" s="9" t="e">
        <f>NMCT670!I11</f>
        <v>#REF!</v>
      </c>
      <c r="D27" s="49" t="e">
        <f>NMCT670!H11</f>
        <v>#REF!</v>
      </c>
      <c r="E27" s="9" t="e">
        <f>NMCT670!J11</f>
        <v>#REF!</v>
      </c>
      <c r="F27" s="49" t="e">
        <f>NMCT670!K11</f>
        <v>#REF!</v>
      </c>
      <c r="G27" s="9" t="e">
        <f>NMCT670!M11</f>
        <v>#REF!</v>
      </c>
      <c r="H27" s="49" t="e">
        <f>NMCT670!L11</f>
        <v>#REF!</v>
      </c>
      <c r="I27" s="9" t="e">
        <f>NMCT670!N11</f>
        <v>#REF!</v>
      </c>
      <c r="J27" s="49" t="e">
        <f>NMCT670!O11</f>
        <v>#REF!</v>
      </c>
      <c r="K27" s="9" t="e">
        <f>NMCT670!P11</f>
        <v>#REF!</v>
      </c>
      <c r="L27" s="35" t="e">
        <f>NMCT670!U11</f>
        <v>#REF!</v>
      </c>
      <c r="M27" s="47" t="e">
        <f>NMCT670!V2179</f>
        <v>#REF!</v>
      </c>
      <c r="N27" s="9"/>
    </row>
    <row r="28" spans="1:14" x14ac:dyDescent="0.3">
      <c r="A28" s="9"/>
      <c r="B28" s="27"/>
      <c r="C28" s="9" t="str">
        <f>NMCT670!I12</f>
        <v>Median_Femur Avg</v>
      </c>
      <c r="D28" s="49"/>
      <c r="E28" s="9" t="str">
        <f>NMCT670!J12</f>
        <v>Median_Femur STD</v>
      </c>
      <c r="F28" s="49"/>
      <c r="G28" s="9" t="str">
        <f>NMCT670!M12</f>
        <v>Median_Thigh Avg</v>
      </c>
      <c r="H28" s="49"/>
      <c r="I28" s="9" t="str">
        <f>NMCT670!N12</f>
        <v>Median_Thigh STD</v>
      </c>
      <c r="J28" s="49"/>
      <c r="K28" s="9" t="str">
        <f>NMCT670!P12</f>
        <v>Median_Ratio</v>
      </c>
      <c r="L28" s="35" t="str">
        <f>NMCT670!U12</f>
        <v>Median_Interv.</v>
      </c>
      <c r="M28" s="47"/>
      <c r="N28" s="9"/>
    </row>
    <row r="29" spans="1:14" x14ac:dyDescent="0.3">
      <c r="A29" s="9"/>
      <c r="B29" s="27"/>
      <c r="C29" s="9" t="e">
        <f>NMCT670!I13</f>
        <v>#REF!</v>
      </c>
      <c r="D29" s="49"/>
      <c r="E29" s="9" t="e">
        <f>NMCT670!J13</f>
        <v>#REF!</v>
      </c>
      <c r="F29" s="49"/>
      <c r="G29" s="9" t="e">
        <f>NMCT670!M13</f>
        <v>#REF!</v>
      </c>
      <c r="H29" s="49"/>
      <c r="I29" s="9" t="e">
        <f>NMCT670!N13</f>
        <v>#REF!</v>
      </c>
      <c r="J29" s="49"/>
      <c r="K29" s="9" t="e">
        <f>NMCT670!P13</f>
        <v>#REF!</v>
      </c>
      <c r="L29" s="35" t="e">
        <f>NMCT670!U13</f>
        <v>#REF!</v>
      </c>
      <c r="M29" s="47"/>
      <c r="N29" s="9"/>
    </row>
    <row r="30" spans="1:14" x14ac:dyDescent="0.3">
      <c r="A30" s="9"/>
      <c r="B30" s="27"/>
      <c r="C30" s="9" t="str">
        <f>NMCT670!I14</f>
        <v>Min_Femur Avg</v>
      </c>
      <c r="D30" s="49"/>
      <c r="E30" s="9" t="str">
        <f>NMCT670!J14</f>
        <v>Min_Femur STD</v>
      </c>
      <c r="F30" s="49"/>
      <c r="G30" s="9" t="str">
        <f>NMCT670!M14</f>
        <v>Min_Thigh Avg</v>
      </c>
      <c r="H30" s="49"/>
      <c r="I30" s="9" t="str">
        <f>NMCT670!N14</f>
        <v>Min_Thigh STD</v>
      </c>
      <c r="J30" s="49"/>
      <c r="K30" s="9" t="str">
        <f>NMCT670!P14</f>
        <v>Min_Ratio</v>
      </c>
      <c r="L30" s="35" t="str">
        <f>NMCT670!U14</f>
        <v>Min_Interv.</v>
      </c>
      <c r="M30" s="47"/>
      <c r="N30" s="9"/>
    </row>
    <row r="31" spans="1:14" x14ac:dyDescent="0.3">
      <c r="A31" s="9"/>
      <c r="B31" s="27"/>
      <c r="C31" s="9" t="e">
        <f>NMCT670!I15</f>
        <v>#REF!</v>
      </c>
      <c r="D31" s="49"/>
      <c r="E31" s="9" t="e">
        <f>NMCT670!J15</f>
        <v>#REF!</v>
      </c>
      <c r="F31" s="49"/>
      <c r="G31" s="9" t="e">
        <f>NMCT670!M15</f>
        <v>#REF!</v>
      </c>
      <c r="H31" s="49"/>
      <c r="I31" s="9" t="e">
        <f>NMCT670!N15</f>
        <v>#REF!</v>
      </c>
      <c r="J31" s="49"/>
      <c r="K31" s="9" t="e">
        <f>NMCT670!P15</f>
        <v>#REF!</v>
      </c>
      <c r="L31" s="35" t="e">
        <f>NMCT670!U15</f>
        <v>#REF!</v>
      </c>
      <c r="M31" s="47"/>
      <c r="N31" s="9"/>
    </row>
    <row r="32" spans="1:14" x14ac:dyDescent="0.3">
      <c r="A32" s="9"/>
      <c r="B32" s="27"/>
      <c r="C32" s="9"/>
      <c r="D32" s="49"/>
      <c r="E32" s="28"/>
      <c r="F32" s="49"/>
      <c r="G32" s="9"/>
      <c r="H32" s="49"/>
      <c r="I32" s="9"/>
      <c r="J32" s="49"/>
      <c r="K32" s="9"/>
      <c r="L32" s="35"/>
      <c r="M32" s="47"/>
      <c r="N32" s="9"/>
    </row>
    <row r="33" spans="1:15" ht="26.25" x14ac:dyDescent="0.3">
      <c r="A33" s="9"/>
      <c r="B33" s="30" t="s">
        <v>55</v>
      </c>
      <c r="C33" s="90" t="s">
        <v>73</v>
      </c>
      <c r="D33" s="91"/>
      <c r="E33" s="91"/>
      <c r="F33" s="49"/>
      <c r="G33" s="90" t="s">
        <v>75</v>
      </c>
      <c r="H33" s="91"/>
      <c r="I33" s="91"/>
      <c r="J33" s="49"/>
      <c r="K33" s="42" t="s">
        <v>76</v>
      </c>
      <c r="L33" s="35"/>
      <c r="M33" s="47"/>
      <c r="N33" s="9"/>
    </row>
    <row r="34" spans="1:15" x14ac:dyDescent="0.3">
      <c r="A34" s="9"/>
      <c r="B34" s="27" t="e">
        <f>#REF!</f>
        <v>#REF!</v>
      </c>
      <c r="C34" s="9" t="e">
        <f>#REF!</f>
        <v>#REF!</v>
      </c>
      <c r="D34" s="49"/>
      <c r="E34" s="9" t="e">
        <f>#REF!</f>
        <v>#REF!</v>
      </c>
      <c r="F34" s="49"/>
      <c r="G34" s="9" t="e">
        <f>#REF!</f>
        <v>#REF!</v>
      </c>
      <c r="H34" s="49"/>
      <c r="I34" s="9" t="e">
        <f>#REF!</f>
        <v>#REF!</v>
      </c>
      <c r="J34" s="49"/>
      <c r="K34" s="9" t="e">
        <f>#REF!</f>
        <v>#REF!</v>
      </c>
      <c r="L34" s="35" t="e">
        <f>#REF!</f>
        <v>#REF!</v>
      </c>
      <c r="M34" s="47"/>
      <c r="N34" s="9"/>
    </row>
    <row r="35" spans="1:15" x14ac:dyDescent="0.3">
      <c r="A35" s="9"/>
      <c r="B35" s="36" t="e">
        <f>#REF!</f>
        <v>#REF!</v>
      </c>
      <c r="C35" s="9" t="e">
        <f>#REF!</f>
        <v>#REF!</v>
      </c>
      <c r="D35" s="49"/>
      <c r="E35" s="9" t="e">
        <f>#REF!</f>
        <v>#REF!</v>
      </c>
      <c r="F35" s="49"/>
      <c r="G35" s="9" t="e">
        <f>#REF!</f>
        <v>#REF!</v>
      </c>
      <c r="H35" s="49"/>
      <c r="I35" s="9" t="e">
        <f>#REF!</f>
        <v>#REF!</v>
      </c>
      <c r="J35" s="49"/>
      <c r="K35" s="9" t="e">
        <f>#REF!</f>
        <v>#REF!</v>
      </c>
      <c r="L35" s="35" t="e">
        <f>#REF!</f>
        <v>#REF!</v>
      </c>
      <c r="M35" s="47"/>
      <c r="N35" s="9"/>
    </row>
    <row r="36" spans="1:15" x14ac:dyDescent="0.3">
      <c r="A36" s="9"/>
      <c r="B36" s="27" t="e">
        <f>#REF!</f>
        <v>#REF!</v>
      </c>
      <c r="C36" s="9" t="e">
        <f>#REF!</f>
        <v>#REF!</v>
      </c>
      <c r="D36" s="49"/>
      <c r="E36" s="9" t="e">
        <f>#REF!</f>
        <v>#REF!</v>
      </c>
      <c r="F36" s="49"/>
      <c r="G36" s="9" t="e">
        <f>#REF!</f>
        <v>#REF!</v>
      </c>
      <c r="H36" s="49"/>
      <c r="I36" s="9" t="e">
        <f>#REF!</f>
        <v>#REF!</v>
      </c>
      <c r="J36" s="49"/>
      <c r="K36" s="9" t="e">
        <f>#REF!</f>
        <v>#REF!</v>
      </c>
      <c r="L36" s="35" t="e">
        <f>#REF!</f>
        <v>#REF!</v>
      </c>
      <c r="M36" s="47"/>
      <c r="N36" s="9"/>
    </row>
    <row r="37" spans="1:15" x14ac:dyDescent="0.3">
      <c r="A37" s="9"/>
      <c r="B37" s="36" t="e">
        <f>#REF!</f>
        <v>#REF!</v>
      </c>
      <c r="C37" s="9" t="e">
        <f>#REF!</f>
        <v>#REF!</v>
      </c>
      <c r="D37" s="49"/>
      <c r="E37" s="9" t="e">
        <f>#REF!</f>
        <v>#REF!</v>
      </c>
      <c r="F37" s="49"/>
      <c r="G37" s="9" t="e">
        <f>#REF!</f>
        <v>#REF!</v>
      </c>
      <c r="H37" s="49"/>
      <c r="I37" s="9" t="e">
        <f>#REF!</f>
        <v>#REF!</v>
      </c>
      <c r="J37" s="49"/>
      <c r="K37" s="9" t="e">
        <f>#REF!</f>
        <v>#REF!</v>
      </c>
      <c r="L37" s="35" t="e">
        <f>#REF!</f>
        <v>#REF!</v>
      </c>
      <c r="M37" s="47"/>
      <c r="N37" s="9"/>
    </row>
    <row r="38" spans="1:15" x14ac:dyDescent="0.3">
      <c r="A38" s="9"/>
      <c r="B38" s="27" t="e">
        <f>#REF!</f>
        <v>#REF!</v>
      </c>
      <c r="C38" s="9" t="e">
        <f>#REF!</f>
        <v>#REF!</v>
      </c>
      <c r="D38" s="49"/>
      <c r="E38" s="9" t="e">
        <f>#REF!</f>
        <v>#REF!</v>
      </c>
      <c r="F38" s="49"/>
      <c r="G38" s="9" t="e">
        <f>#REF!</f>
        <v>#REF!</v>
      </c>
      <c r="H38" s="49"/>
      <c r="I38" s="9" t="e">
        <f>#REF!</f>
        <v>#REF!</v>
      </c>
      <c r="J38" s="49"/>
      <c r="K38" s="9" t="e">
        <f>#REF!</f>
        <v>#REF!</v>
      </c>
      <c r="L38" s="35" t="e">
        <f>#REF!</f>
        <v>#REF!</v>
      </c>
      <c r="M38" s="47"/>
      <c r="N38" s="9"/>
    </row>
    <row r="39" spans="1:15" x14ac:dyDescent="0.3">
      <c r="A39" s="9"/>
      <c r="B39" s="36" t="e">
        <f>#REF!</f>
        <v>#REF!</v>
      </c>
      <c r="C39" s="9" t="e">
        <f>#REF!</f>
        <v>#REF!</v>
      </c>
      <c r="D39" s="49"/>
      <c r="E39" s="9" t="e">
        <f>#REF!</f>
        <v>#REF!</v>
      </c>
      <c r="F39" s="49"/>
      <c r="G39" s="9" t="e">
        <f>#REF!</f>
        <v>#REF!</v>
      </c>
      <c r="H39" s="49"/>
      <c r="I39" s="9" t="e">
        <f>#REF!</f>
        <v>#REF!</v>
      </c>
      <c r="J39" s="49"/>
      <c r="K39" s="9" t="e">
        <f>#REF!</f>
        <v>#REF!</v>
      </c>
      <c r="L39" s="35" t="e">
        <f>#REF!</f>
        <v>#REF!</v>
      </c>
      <c r="M39" s="47"/>
      <c r="N39" s="9"/>
    </row>
    <row r="40" spans="1:15" x14ac:dyDescent="0.3">
      <c r="A40" s="9"/>
      <c r="B40" s="27"/>
      <c r="C40" s="86" t="e">
        <f>#REF!</f>
        <v>#REF!</v>
      </c>
      <c r="D40" s="86"/>
      <c r="E40" s="86" t="e">
        <f>#REF!</f>
        <v>#REF!</v>
      </c>
      <c r="F40" s="86"/>
      <c r="G40" s="86" t="e">
        <f>#REF!</f>
        <v>#REF!</v>
      </c>
      <c r="H40" s="86"/>
      <c r="I40" s="86" t="e">
        <f>#REF!</f>
        <v>#REF!</v>
      </c>
      <c r="J40" s="86"/>
      <c r="K40" s="44" t="e">
        <f>#REF!</f>
        <v>#REF!</v>
      </c>
      <c r="L40" s="87" t="e">
        <f>#REF!</f>
        <v>#REF!</v>
      </c>
      <c r="M40" s="88"/>
      <c r="N40" s="9"/>
    </row>
    <row r="41" spans="1:15" x14ac:dyDescent="0.3">
      <c r="A41" s="9"/>
      <c r="B41" s="27"/>
      <c r="C41" s="9" t="e">
        <f>#REF!</f>
        <v>#REF!</v>
      </c>
      <c r="D41" s="49" t="e">
        <f>#REF!</f>
        <v>#REF!</v>
      </c>
      <c r="E41" s="9" t="e">
        <f>#REF!</f>
        <v>#REF!</v>
      </c>
      <c r="F41" s="49" t="e">
        <f>#REF!</f>
        <v>#REF!</v>
      </c>
      <c r="G41" s="9" t="e">
        <f>#REF!</f>
        <v>#REF!</v>
      </c>
      <c r="H41" s="49" t="e">
        <f>#REF!</f>
        <v>#REF!</v>
      </c>
      <c r="I41" s="9" t="e">
        <f>#REF!</f>
        <v>#REF!</v>
      </c>
      <c r="J41" s="49" t="e">
        <f>#REF!</f>
        <v>#REF!</v>
      </c>
      <c r="K41" s="9" t="e">
        <f>#REF!</f>
        <v>#REF!</v>
      </c>
      <c r="L41" s="35" t="e">
        <f>#REF!</f>
        <v>#REF!</v>
      </c>
      <c r="M41" s="47" t="e">
        <f>#REF!</f>
        <v>#REF!</v>
      </c>
      <c r="N41" s="9"/>
    </row>
    <row r="42" spans="1:15" x14ac:dyDescent="0.3">
      <c r="A42" s="9"/>
      <c r="B42" s="27"/>
      <c r="C42" s="9" t="e">
        <f>#REF!</f>
        <v>#REF!</v>
      </c>
      <c r="D42" s="49"/>
      <c r="E42" s="9" t="e">
        <f>#REF!</f>
        <v>#REF!</v>
      </c>
      <c r="F42" s="49"/>
      <c r="G42" s="9" t="e">
        <f>#REF!</f>
        <v>#REF!</v>
      </c>
      <c r="H42" s="49"/>
      <c r="I42" s="9" t="e">
        <f>#REF!</f>
        <v>#REF!</v>
      </c>
      <c r="J42" s="49"/>
      <c r="K42" s="9" t="e">
        <f>#REF!</f>
        <v>#REF!</v>
      </c>
      <c r="L42" s="35" t="e">
        <f>#REF!</f>
        <v>#REF!</v>
      </c>
      <c r="M42" s="47"/>
      <c r="N42" s="9"/>
    </row>
    <row r="43" spans="1:15" x14ac:dyDescent="0.3">
      <c r="A43" s="9"/>
      <c r="B43" s="27"/>
      <c r="C43" s="9" t="e">
        <f>#REF!</f>
        <v>#REF!</v>
      </c>
      <c r="D43" s="49"/>
      <c r="E43" s="9" t="e">
        <f>#REF!</f>
        <v>#REF!</v>
      </c>
      <c r="F43" s="49"/>
      <c r="G43" s="9" t="e">
        <f>#REF!</f>
        <v>#REF!</v>
      </c>
      <c r="H43" s="49"/>
      <c r="I43" s="9" t="e">
        <f>#REF!</f>
        <v>#REF!</v>
      </c>
      <c r="J43" s="49"/>
      <c r="K43" s="9" t="e">
        <f>#REF!</f>
        <v>#REF!</v>
      </c>
      <c r="L43" s="35" t="e">
        <f>#REF!</f>
        <v>#REF!</v>
      </c>
      <c r="M43" s="47"/>
      <c r="N43" s="9"/>
    </row>
    <row r="44" spans="1:15" x14ac:dyDescent="0.3">
      <c r="A44" s="9"/>
      <c r="B44" s="27"/>
      <c r="C44" s="9" t="e">
        <f>#REF!</f>
        <v>#REF!</v>
      </c>
      <c r="D44" s="49"/>
      <c r="E44" s="9" t="e">
        <f>#REF!</f>
        <v>#REF!</v>
      </c>
      <c r="F44" s="49"/>
      <c r="G44" s="9" t="e">
        <f>#REF!</f>
        <v>#REF!</v>
      </c>
      <c r="H44" s="49"/>
      <c r="I44" s="9" t="e">
        <f>#REF!</f>
        <v>#REF!</v>
      </c>
      <c r="J44" s="49"/>
      <c r="K44" s="9" t="e">
        <f>#REF!</f>
        <v>#REF!</v>
      </c>
      <c r="L44" s="35" t="e">
        <f>#REF!</f>
        <v>#REF!</v>
      </c>
      <c r="M44" s="47"/>
      <c r="N44" s="9"/>
    </row>
    <row r="45" spans="1:15" x14ac:dyDescent="0.3">
      <c r="A45" s="9"/>
      <c r="B45" s="27"/>
      <c r="C45" s="9" t="e">
        <f>#REF!</f>
        <v>#REF!</v>
      </c>
      <c r="D45" s="49"/>
      <c r="E45" s="9" t="e">
        <f>#REF!</f>
        <v>#REF!</v>
      </c>
      <c r="F45" s="49"/>
      <c r="G45" s="9" t="e">
        <f>#REF!</f>
        <v>#REF!</v>
      </c>
      <c r="H45" s="49"/>
      <c r="I45" s="9" t="e">
        <f>#REF!</f>
        <v>#REF!</v>
      </c>
      <c r="J45" s="49"/>
      <c r="K45" s="9" t="e">
        <f>#REF!</f>
        <v>#REF!</v>
      </c>
      <c r="L45" s="35" t="e">
        <f>#REF!</f>
        <v>#REF!</v>
      </c>
      <c r="M45" s="47"/>
      <c r="N45" s="9"/>
      <c r="O45" s="9"/>
    </row>
    <row r="46" spans="1:15" ht="26.25" x14ac:dyDescent="0.3">
      <c r="A46" s="9"/>
      <c r="B46" s="30" t="s">
        <v>72</v>
      </c>
      <c r="C46" s="90" t="s">
        <v>73</v>
      </c>
      <c r="D46" s="91"/>
      <c r="E46" s="91"/>
      <c r="F46" s="49"/>
      <c r="G46" s="90" t="s">
        <v>75</v>
      </c>
      <c r="H46" s="91"/>
      <c r="I46" s="91"/>
      <c r="J46" s="49"/>
      <c r="K46" s="42" t="s">
        <v>76</v>
      </c>
      <c r="L46" s="35"/>
      <c r="M46" s="47"/>
      <c r="N46" s="9"/>
      <c r="O46" s="9"/>
    </row>
    <row r="47" spans="1:15" x14ac:dyDescent="0.3">
      <c r="A47" s="9"/>
      <c r="B47" s="36" t="e">
        <f>#REF!</f>
        <v>#REF!</v>
      </c>
      <c r="C47" s="9" t="e">
        <f>#REF!</f>
        <v>#REF!</v>
      </c>
      <c r="D47" s="49"/>
      <c r="E47" s="9" t="e">
        <f>#REF!</f>
        <v>#REF!</v>
      </c>
      <c r="F47" s="49"/>
      <c r="G47" s="9" t="e">
        <f>#REF!</f>
        <v>#REF!</v>
      </c>
      <c r="H47" s="49"/>
      <c r="I47" s="9" t="e">
        <f>#REF!</f>
        <v>#REF!</v>
      </c>
      <c r="J47" s="49"/>
      <c r="K47" s="9" t="e">
        <f>#REF!</f>
        <v>#REF!</v>
      </c>
      <c r="L47" s="9" t="e">
        <f>#REF!</f>
        <v>#REF!</v>
      </c>
      <c r="M47" s="47"/>
      <c r="N47" s="9"/>
      <c r="O47" s="9"/>
    </row>
    <row r="48" spans="1:15" x14ac:dyDescent="0.3">
      <c r="A48" s="9"/>
      <c r="B48" s="36" t="e">
        <f>#REF!</f>
        <v>#REF!</v>
      </c>
      <c r="C48" s="9" t="e">
        <f>#REF!</f>
        <v>#REF!</v>
      </c>
      <c r="D48" s="49"/>
      <c r="E48" s="9" t="e">
        <f>#REF!</f>
        <v>#REF!</v>
      </c>
      <c r="F48" s="49"/>
      <c r="G48" s="9" t="e">
        <f>#REF!</f>
        <v>#REF!</v>
      </c>
      <c r="H48" s="49"/>
      <c r="I48" s="9" t="e">
        <f>#REF!</f>
        <v>#REF!</v>
      </c>
      <c r="J48" s="49"/>
      <c r="K48" s="9" t="e">
        <f>#REF!</f>
        <v>#REF!</v>
      </c>
      <c r="L48" s="35" t="e">
        <f>#REF!</f>
        <v>#REF!</v>
      </c>
      <c r="M48" s="47"/>
      <c r="N48" s="9"/>
      <c r="O48" s="9"/>
    </row>
    <row r="49" spans="1:15" x14ac:dyDescent="0.3">
      <c r="A49" s="9"/>
      <c r="B49" s="36" t="e">
        <f>#REF!</f>
        <v>#REF!</v>
      </c>
      <c r="C49" s="9" t="e">
        <f>#REF!</f>
        <v>#REF!</v>
      </c>
      <c r="D49" s="49"/>
      <c r="E49" s="9" t="e">
        <f>#REF!</f>
        <v>#REF!</v>
      </c>
      <c r="F49" s="49"/>
      <c r="G49" s="9" t="e">
        <f>#REF!</f>
        <v>#REF!</v>
      </c>
      <c r="H49" s="49"/>
      <c r="I49" s="9" t="e">
        <f>#REF!</f>
        <v>#REF!</v>
      </c>
      <c r="J49" s="49"/>
      <c r="K49" s="9" t="e">
        <f>#REF!</f>
        <v>#REF!</v>
      </c>
      <c r="L49" s="9" t="e">
        <f>#REF!</f>
        <v>#REF!</v>
      </c>
      <c r="M49" s="47"/>
      <c r="N49" s="9"/>
      <c r="O49" s="9"/>
    </row>
    <row r="50" spans="1:15" x14ac:dyDescent="0.3">
      <c r="A50" s="9"/>
      <c r="B50" s="36" t="e">
        <f>#REF!</f>
        <v>#REF!</v>
      </c>
      <c r="C50" s="9" t="e">
        <f>#REF!</f>
        <v>#REF!</v>
      </c>
      <c r="D50" s="49"/>
      <c r="E50" s="9" t="e">
        <f>#REF!</f>
        <v>#REF!</v>
      </c>
      <c r="F50" s="49"/>
      <c r="G50" s="9" t="e">
        <f>#REF!</f>
        <v>#REF!</v>
      </c>
      <c r="H50" s="49"/>
      <c r="I50" s="9" t="e">
        <f>#REF!</f>
        <v>#REF!</v>
      </c>
      <c r="J50" s="49"/>
      <c r="K50" s="9" t="e">
        <f>#REF!</f>
        <v>#REF!</v>
      </c>
      <c r="L50" s="35" t="e">
        <f>#REF!</f>
        <v>#REF!</v>
      </c>
      <c r="M50" s="47"/>
      <c r="N50" s="9"/>
      <c r="O50" s="9"/>
    </row>
    <row r="51" spans="1:15" x14ac:dyDescent="0.3">
      <c r="A51" s="9"/>
      <c r="B51" s="36" t="e">
        <f>#REF!</f>
        <v>#REF!</v>
      </c>
      <c r="C51" s="9" t="e">
        <f>#REF!</f>
        <v>#REF!</v>
      </c>
      <c r="D51" s="49"/>
      <c r="E51" s="9" t="e">
        <f>#REF!</f>
        <v>#REF!</v>
      </c>
      <c r="F51" s="49"/>
      <c r="G51" s="9" t="e">
        <f>#REF!</f>
        <v>#REF!</v>
      </c>
      <c r="H51" s="49"/>
      <c r="I51" s="9" t="e">
        <f>#REF!</f>
        <v>#REF!</v>
      </c>
      <c r="J51" s="49"/>
      <c r="K51" s="9" t="e">
        <f>#REF!</f>
        <v>#REF!</v>
      </c>
      <c r="L51" s="9" t="e">
        <f>#REF!</f>
        <v>#REF!</v>
      </c>
      <c r="M51" s="47"/>
      <c r="N51" s="9"/>
    </row>
    <row r="52" spans="1:15" x14ac:dyDescent="0.3">
      <c r="A52" s="9"/>
      <c r="B52" s="36" t="e">
        <f>#REF!</f>
        <v>#REF!</v>
      </c>
      <c r="C52" s="9" t="e">
        <f>#REF!</f>
        <v>#REF!</v>
      </c>
      <c r="D52" s="49"/>
      <c r="E52" s="9" t="e">
        <f>#REF!</f>
        <v>#REF!</v>
      </c>
      <c r="F52" s="49"/>
      <c r="G52" s="9" t="e">
        <f>#REF!</f>
        <v>#REF!</v>
      </c>
      <c r="H52" s="49"/>
      <c r="I52" s="9" t="e">
        <f>#REF!</f>
        <v>#REF!</v>
      </c>
      <c r="J52" s="49"/>
      <c r="K52" s="9" t="e">
        <f>#REF!</f>
        <v>#REF!</v>
      </c>
      <c r="L52" s="35" t="e">
        <f>#REF!</f>
        <v>#REF!</v>
      </c>
      <c r="M52" s="47"/>
      <c r="N52" s="9"/>
    </row>
    <row r="53" spans="1:15" x14ac:dyDescent="0.3">
      <c r="A53" s="9"/>
      <c r="B53" s="27"/>
      <c r="C53" s="86" t="e">
        <f>#REF!</f>
        <v>#REF!</v>
      </c>
      <c r="D53" s="86"/>
      <c r="E53" s="86" t="e">
        <f>#REF!</f>
        <v>#REF!</v>
      </c>
      <c r="F53" s="86"/>
      <c r="G53" s="86" t="e">
        <f>#REF!</f>
        <v>#REF!</v>
      </c>
      <c r="H53" s="86"/>
      <c r="I53" s="86" t="e">
        <f>#REF!</f>
        <v>#REF!</v>
      </c>
      <c r="J53" s="86"/>
      <c r="K53" s="44" t="e">
        <f>#REF!</f>
        <v>#REF!</v>
      </c>
      <c r="L53" s="86" t="e">
        <f>#REF!</f>
        <v>#REF!</v>
      </c>
      <c r="M53" s="89"/>
      <c r="N53" s="9"/>
    </row>
    <row r="54" spans="1:15" x14ac:dyDescent="0.3">
      <c r="A54" s="9"/>
      <c r="B54" s="27"/>
      <c r="C54" s="9" t="e">
        <f>#REF!</f>
        <v>#REF!</v>
      </c>
      <c r="D54" s="49" t="e">
        <f>#REF!</f>
        <v>#REF!</v>
      </c>
      <c r="E54" s="9" t="e">
        <f>#REF!</f>
        <v>#REF!</v>
      </c>
      <c r="F54" s="49" t="e">
        <f>#REF!</f>
        <v>#REF!</v>
      </c>
      <c r="G54" s="9" t="e">
        <f>#REF!</f>
        <v>#REF!</v>
      </c>
      <c r="H54" s="49" t="e">
        <f>#REF!</f>
        <v>#REF!</v>
      </c>
      <c r="I54" s="9" t="e">
        <f>#REF!</f>
        <v>#REF!</v>
      </c>
      <c r="J54" s="49" t="e">
        <f>#REF!</f>
        <v>#REF!</v>
      </c>
      <c r="K54" s="9" t="e">
        <f>#REF!</f>
        <v>#REF!</v>
      </c>
      <c r="L54" s="35" t="e">
        <f>#REF!</f>
        <v>#REF!</v>
      </c>
      <c r="M54" s="47" t="e">
        <f>#REF!</f>
        <v>#REF!</v>
      </c>
      <c r="N54" s="9"/>
    </row>
    <row r="55" spans="1:15" x14ac:dyDescent="0.3">
      <c r="A55" s="9"/>
      <c r="B55" s="27"/>
      <c r="C55" s="9" t="e">
        <f>#REF!</f>
        <v>#REF!</v>
      </c>
      <c r="D55" s="49"/>
      <c r="E55" s="9" t="e">
        <f>#REF!</f>
        <v>#REF!</v>
      </c>
      <c r="F55" s="49"/>
      <c r="G55" s="9" t="e">
        <f>#REF!</f>
        <v>#REF!</v>
      </c>
      <c r="H55" s="49"/>
      <c r="I55" s="9" t="e">
        <f>#REF!</f>
        <v>#REF!</v>
      </c>
      <c r="J55" s="49"/>
      <c r="K55" s="9" t="e">
        <f>#REF!</f>
        <v>#REF!</v>
      </c>
      <c r="L55" s="9" t="e">
        <f>#REF!</f>
        <v>#REF!</v>
      </c>
      <c r="M55" s="47"/>
      <c r="N55" s="9"/>
    </row>
    <row r="56" spans="1:15" x14ac:dyDescent="0.3">
      <c r="A56" s="9"/>
      <c r="B56" s="27"/>
      <c r="C56" s="9" t="e">
        <f>#REF!</f>
        <v>#REF!</v>
      </c>
      <c r="D56" s="49"/>
      <c r="E56" s="9" t="e">
        <f>#REF!</f>
        <v>#REF!</v>
      </c>
      <c r="F56" s="49"/>
      <c r="G56" s="9" t="e">
        <f>#REF!</f>
        <v>#REF!</v>
      </c>
      <c r="H56" s="49"/>
      <c r="I56" s="9" t="e">
        <f>#REF!</f>
        <v>#REF!</v>
      </c>
      <c r="J56" s="49"/>
      <c r="K56" s="9" t="e">
        <f>#REF!</f>
        <v>#REF!</v>
      </c>
      <c r="L56" s="35" t="e">
        <f>#REF!</f>
        <v>#REF!</v>
      </c>
      <c r="M56" s="47"/>
      <c r="N56" s="9"/>
    </row>
    <row r="57" spans="1:15" x14ac:dyDescent="0.3">
      <c r="A57" s="9"/>
      <c r="B57" s="27"/>
      <c r="C57" s="9" t="e">
        <f>#REF!</f>
        <v>#REF!</v>
      </c>
      <c r="D57" s="49"/>
      <c r="E57" s="9" t="e">
        <f>#REF!</f>
        <v>#REF!</v>
      </c>
      <c r="F57" s="49"/>
      <c r="G57" s="9" t="e">
        <f>#REF!</f>
        <v>#REF!</v>
      </c>
      <c r="H57" s="49"/>
      <c r="I57" s="9" t="e">
        <f>#REF!</f>
        <v>#REF!</v>
      </c>
      <c r="J57" s="49"/>
      <c r="K57" s="9" t="e">
        <f>#REF!</f>
        <v>#REF!</v>
      </c>
      <c r="L57" s="9" t="e">
        <f>#REF!</f>
        <v>#REF!</v>
      </c>
      <c r="M57" s="47"/>
      <c r="N57" s="9"/>
    </row>
    <row r="58" spans="1:15" ht="17.25" thickBot="1" x14ac:dyDescent="0.35">
      <c r="A58" s="9"/>
      <c r="B58" s="29"/>
      <c r="C58" s="12" t="e">
        <f>#REF!</f>
        <v>#REF!</v>
      </c>
      <c r="D58" s="50"/>
      <c r="E58" s="12" t="e">
        <f>#REF!</f>
        <v>#REF!</v>
      </c>
      <c r="F58" s="50"/>
      <c r="G58" s="12" t="e">
        <f>#REF!</f>
        <v>#REF!</v>
      </c>
      <c r="H58" s="50"/>
      <c r="I58" s="12" t="e">
        <f>#REF!</f>
        <v>#REF!</v>
      </c>
      <c r="J58" s="50"/>
      <c r="K58" s="12" t="e">
        <f>#REF!</f>
        <v>#REF!</v>
      </c>
      <c r="L58" s="40" t="e">
        <f>#REF!</f>
        <v>#REF!</v>
      </c>
      <c r="M58" s="52"/>
      <c r="N58" s="9"/>
    </row>
    <row r="59" spans="1:15" ht="26.25" x14ac:dyDescent="0.3">
      <c r="A59" s="9"/>
      <c r="B59" s="39" t="s">
        <v>60</v>
      </c>
      <c r="C59" s="9"/>
      <c r="D59" s="49"/>
      <c r="E59" s="28"/>
      <c r="F59" s="49"/>
      <c r="G59" s="9"/>
      <c r="H59" s="49"/>
      <c r="I59" s="9"/>
      <c r="J59" s="49"/>
      <c r="K59" s="9"/>
    </row>
    <row r="60" spans="1:15" x14ac:dyDescent="0.3">
      <c r="B60" s="37" t="s">
        <v>61</v>
      </c>
    </row>
    <row r="61" spans="1:15" x14ac:dyDescent="0.3">
      <c r="B61" s="37" t="e">
        <f>SUM(B7,B21,B35,B48)</f>
        <v>#REF!</v>
      </c>
    </row>
    <row r="62" spans="1:15" x14ac:dyDescent="0.3">
      <c r="B62" s="37" t="s">
        <v>62</v>
      </c>
    </row>
    <row r="63" spans="1:15" x14ac:dyDescent="0.3">
      <c r="B63" s="37" t="e">
        <f>SUM(B9,B23,B37,B50)</f>
        <v>#REF!</v>
      </c>
    </row>
    <row r="64" spans="1:15" x14ac:dyDescent="0.3">
      <c r="B64" s="37" t="s">
        <v>60</v>
      </c>
    </row>
    <row r="65" spans="2:2" ht="17.25" thickBot="1" x14ac:dyDescent="0.35">
      <c r="B65" s="38" t="e">
        <f>IF(SUM(B11,B25,B39,B52)=SUM(B61,B63),SUM(B61,B63),"MISTAKE!")</f>
        <v>#REF!</v>
      </c>
    </row>
  </sheetData>
  <mergeCells count="30">
    <mergeCell ref="B3:M3"/>
    <mergeCell ref="C19:E19"/>
    <mergeCell ref="C12:D12"/>
    <mergeCell ref="E12:F12"/>
    <mergeCell ref="G12:H12"/>
    <mergeCell ref="I12:J12"/>
    <mergeCell ref="L12:M12"/>
    <mergeCell ref="G19:I19"/>
    <mergeCell ref="E26:F26"/>
    <mergeCell ref="G26:H26"/>
    <mergeCell ref="I26:J26"/>
    <mergeCell ref="L5:M5"/>
    <mergeCell ref="G5:J5"/>
    <mergeCell ref="C5:F5"/>
    <mergeCell ref="L26:M26"/>
    <mergeCell ref="C26:D26"/>
    <mergeCell ref="I40:J40"/>
    <mergeCell ref="I53:J53"/>
    <mergeCell ref="L40:M40"/>
    <mergeCell ref="L53:M53"/>
    <mergeCell ref="C33:E33"/>
    <mergeCell ref="C46:E46"/>
    <mergeCell ref="G33:I33"/>
    <mergeCell ref="G46:I46"/>
    <mergeCell ref="C40:D40"/>
    <mergeCell ref="E40:F40"/>
    <mergeCell ref="C53:D53"/>
    <mergeCell ref="E53:F53"/>
    <mergeCell ref="G53:H53"/>
    <mergeCell ref="G40:H4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65"/>
  <sheetViews>
    <sheetView zoomScale="70" zoomScaleNormal="70" workbookViewId="0">
      <selection activeCell="C107" sqref="C107"/>
    </sheetView>
  </sheetViews>
  <sheetFormatPr defaultRowHeight="16.5" x14ac:dyDescent="0.3"/>
  <cols>
    <col min="2" max="2" width="7.125" style="53" bestFit="1" customWidth="1"/>
    <col min="3" max="3" width="16.625" style="59" customWidth="1"/>
    <col min="4" max="9" width="16.625" style="53" customWidth="1"/>
    <col min="10" max="10" width="16.625" style="60" customWidth="1"/>
  </cols>
  <sheetData>
    <row r="2" spans="2:9" ht="17.25" thickBot="1" x14ac:dyDescent="0.35"/>
    <row r="3" spans="2:9" ht="34.5" thickBot="1" x14ac:dyDescent="0.35">
      <c r="B3" s="95" t="s">
        <v>71</v>
      </c>
      <c r="C3" s="96"/>
      <c r="D3" s="96"/>
      <c r="E3" s="96"/>
      <c r="F3" s="96"/>
      <c r="G3" s="96"/>
      <c r="H3" s="96"/>
      <c r="I3" s="97"/>
    </row>
    <row r="4" spans="2:9" ht="17.25" thickBot="1" x14ac:dyDescent="0.35"/>
    <row r="5" spans="2:9" ht="26.25" x14ac:dyDescent="0.3">
      <c r="B5" s="101" t="s">
        <v>58</v>
      </c>
      <c r="C5" s="94"/>
      <c r="D5" s="99" t="s">
        <v>73</v>
      </c>
      <c r="E5" s="99"/>
      <c r="F5" s="94" t="s">
        <v>74</v>
      </c>
      <c r="G5" s="94"/>
      <c r="H5" s="94" t="s">
        <v>76</v>
      </c>
      <c r="I5" s="100"/>
    </row>
    <row r="6" spans="2:9" x14ac:dyDescent="0.3">
      <c r="B6" s="55" t="e">
        <f>#REF!</f>
        <v>#REF!</v>
      </c>
      <c r="C6" s="44" t="e">
        <f>#REF!</f>
        <v>#REF!</v>
      </c>
      <c r="D6" s="44" t="e">
        <f>#REF!</f>
        <v>#REF!</v>
      </c>
      <c r="E6" s="44" t="e">
        <f>#REF!</f>
        <v>#REF!</v>
      </c>
      <c r="F6" s="44" t="e">
        <f>#REF!</f>
        <v>#REF!</v>
      </c>
      <c r="G6" s="44" t="e">
        <f>#REF!</f>
        <v>#REF!</v>
      </c>
      <c r="H6" s="44" t="e">
        <f>#REF!</f>
        <v>#REF!</v>
      </c>
      <c r="I6" s="45" t="e">
        <f>#REF!</f>
        <v>#REF!</v>
      </c>
    </row>
    <row r="7" spans="2:9" x14ac:dyDescent="0.3">
      <c r="B7" s="55" t="e">
        <f>#REF!</f>
        <v>#REF!</v>
      </c>
      <c r="C7" s="61" t="e">
        <f>#REF!</f>
        <v>#REF!</v>
      </c>
      <c r="D7" s="44" t="e">
        <f>#REF!</f>
        <v>#REF!</v>
      </c>
      <c r="E7" s="44" t="e">
        <f>#REF!</f>
        <v>#REF!</v>
      </c>
      <c r="F7" s="44" t="e">
        <f>#REF!</f>
        <v>#REF!</v>
      </c>
      <c r="G7" s="44" t="e">
        <f>#REF!</f>
        <v>#REF!</v>
      </c>
      <c r="H7" s="44" t="e">
        <f>#REF!</f>
        <v>#REF!</v>
      </c>
      <c r="I7" s="45" t="e">
        <f>#REF!</f>
        <v>#REF!</v>
      </c>
    </row>
    <row r="8" spans="2:9" x14ac:dyDescent="0.3">
      <c r="B8" s="55" t="e">
        <f>#REF!</f>
        <v>#REF!</v>
      </c>
      <c r="C8" s="61" t="e">
        <f>#REF!</f>
        <v>#REF!</v>
      </c>
      <c r="D8" s="44" t="e">
        <f>#REF!</f>
        <v>#REF!</v>
      </c>
      <c r="E8" s="44" t="e">
        <f>#REF!</f>
        <v>#REF!</v>
      </c>
      <c r="F8" s="44" t="e">
        <f>#REF!</f>
        <v>#REF!</v>
      </c>
      <c r="G8" s="44" t="e">
        <f>#REF!</f>
        <v>#REF!</v>
      </c>
      <c r="H8" s="44" t="e">
        <f>#REF!</f>
        <v>#REF!</v>
      </c>
      <c r="I8" s="45" t="e">
        <f>#REF!</f>
        <v>#REF!</v>
      </c>
    </row>
    <row r="9" spans="2:9" x14ac:dyDescent="0.3">
      <c r="B9" s="55" t="e">
        <f>#REF!</f>
        <v>#REF!</v>
      </c>
      <c r="C9" s="61" t="e">
        <f>#REF!</f>
        <v>#REF!</v>
      </c>
      <c r="D9" s="44" t="e">
        <f>#REF!</f>
        <v>#REF!</v>
      </c>
      <c r="E9" s="44" t="e">
        <f>#REF!</f>
        <v>#REF!</v>
      </c>
      <c r="F9" s="44" t="e">
        <f>#REF!</f>
        <v>#REF!</v>
      </c>
      <c r="G9" s="44" t="e">
        <f>#REF!</f>
        <v>#REF!</v>
      </c>
      <c r="H9" s="44" t="e">
        <f>#REF!</f>
        <v>#REF!</v>
      </c>
      <c r="I9" s="45" t="e">
        <f>#REF!</f>
        <v>#REF!</v>
      </c>
    </row>
    <row r="10" spans="2:9" x14ac:dyDescent="0.3">
      <c r="B10" s="55" t="e">
        <f>#REF!</f>
        <v>#REF!</v>
      </c>
      <c r="C10" s="61" t="e">
        <f>#REF!</f>
        <v>#REF!</v>
      </c>
      <c r="D10" s="44" t="e">
        <f>#REF!</f>
        <v>#REF!</v>
      </c>
      <c r="E10" s="44" t="e">
        <f>#REF!</f>
        <v>#REF!</v>
      </c>
      <c r="F10" s="44" t="e">
        <f>#REF!</f>
        <v>#REF!</v>
      </c>
      <c r="G10" s="44" t="e">
        <f>#REF!</f>
        <v>#REF!</v>
      </c>
      <c r="H10" s="44" t="e">
        <f>#REF!</f>
        <v>#REF!</v>
      </c>
      <c r="I10" s="45" t="e">
        <f>#REF!</f>
        <v>#REF!</v>
      </c>
    </row>
    <row r="11" spans="2:9" x14ac:dyDescent="0.3">
      <c r="B11" s="55" t="e">
        <f>#REF!</f>
        <v>#REF!</v>
      </c>
      <c r="C11" s="61" t="e">
        <f>#REF!</f>
        <v>#REF!</v>
      </c>
      <c r="D11" s="44" t="e">
        <f>#REF!</f>
        <v>#REF!</v>
      </c>
      <c r="E11" s="44" t="e">
        <f>#REF!</f>
        <v>#REF!</v>
      </c>
      <c r="F11" s="44" t="e">
        <f>#REF!</f>
        <v>#REF!</v>
      </c>
      <c r="G11" s="44" t="e">
        <f>#REF!</f>
        <v>#REF!</v>
      </c>
      <c r="H11" s="44" t="e">
        <f>#REF!</f>
        <v>#REF!</v>
      </c>
      <c r="I11" s="45" t="e">
        <f>#REF!</f>
        <v>#REF!</v>
      </c>
    </row>
    <row r="12" spans="2:9" x14ac:dyDescent="0.3">
      <c r="B12" s="55" t="e">
        <f>#REF!</f>
        <v>#REF!</v>
      </c>
      <c r="C12" s="61" t="e">
        <f>#REF!</f>
        <v>#REF!</v>
      </c>
      <c r="D12" s="44" t="e">
        <f>#REF!</f>
        <v>#REF!</v>
      </c>
      <c r="E12" s="44" t="e">
        <f>#REF!</f>
        <v>#REF!</v>
      </c>
      <c r="F12" s="44" t="e">
        <f>#REF!</f>
        <v>#REF!</v>
      </c>
      <c r="G12" s="44" t="e">
        <f>#REF!</f>
        <v>#REF!</v>
      </c>
      <c r="H12" s="44" t="e">
        <f>#REF!</f>
        <v>#REF!</v>
      </c>
      <c r="I12" s="45" t="e">
        <f>#REF!</f>
        <v>#REF!</v>
      </c>
    </row>
    <row r="13" spans="2:9" x14ac:dyDescent="0.3">
      <c r="B13" s="55" t="e">
        <f>#REF!</f>
        <v>#REF!</v>
      </c>
      <c r="C13" s="61" t="e">
        <f>#REF!</f>
        <v>#REF!</v>
      </c>
      <c r="D13" s="44" t="e">
        <f>#REF!</f>
        <v>#REF!</v>
      </c>
      <c r="E13" s="44" t="e">
        <f>#REF!</f>
        <v>#REF!</v>
      </c>
      <c r="F13" s="44" t="e">
        <f>#REF!</f>
        <v>#REF!</v>
      </c>
      <c r="G13" s="44" t="e">
        <f>#REF!</f>
        <v>#REF!</v>
      </c>
      <c r="H13" s="44" t="e">
        <f>#REF!</f>
        <v>#REF!</v>
      </c>
      <c r="I13" s="45" t="e">
        <f>#REF!</f>
        <v>#REF!</v>
      </c>
    </row>
    <row r="14" spans="2:9" x14ac:dyDescent="0.3">
      <c r="B14" s="55" t="e">
        <f>#REF!</f>
        <v>#REF!</v>
      </c>
      <c r="C14" s="61" t="e">
        <f>#REF!</f>
        <v>#REF!</v>
      </c>
      <c r="D14" s="44" t="e">
        <f>#REF!</f>
        <v>#REF!</v>
      </c>
      <c r="E14" s="44" t="e">
        <f>#REF!</f>
        <v>#REF!</v>
      </c>
      <c r="F14" s="44" t="e">
        <f>#REF!</f>
        <v>#REF!</v>
      </c>
      <c r="G14" s="44" t="e">
        <f>#REF!</f>
        <v>#REF!</v>
      </c>
      <c r="H14" s="44" t="e">
        <f>#REF!</f>
        <v>#REF!</v>
      </c>
      <c r="I14" s="45" t="e">
        <f>#REF!</f>
        <v>#REF!</v>
      </c>
    </row>
    <row r="15" spans="2:9" x14ac:dyDescent="0.3">
      <c r="B15" s="55" t="e">
        <f>#REF!</f>
        <v>#REF!</v>
      </c>
      <c r="C15" s="61" t="e">
        <f>#REF!</f>
        <v>#REF!</v>
      </c>
      <c r="D15" s="44" t="e">
        <f>#REF!</f>
        <v>#REF!</v>
      </c>
      <c r="E15" s="44" t="e">
        <f>#REF!</f>
        <v>#REF!</v>
      </c>
      <c r="F15" s="44" t="e">
        <f>#REF!</f>
        <v>#REF!</v>
      </c>
      <c r="G15" s="44" t="e">
        <f>#REF!</f>
        <v>#REF!</v>
      </c>
      <c r="H15" s="44" t="e">
        <f>#REF!</f>
        <v>#REF!</v>
      </c>
      <c r="I15" s="45" t="e">
        <f>#REF!</f>
        <v>#REF!</v>
      </c>
    </row>
    <row r="16" spans="2:9" x14ac:dyDescent="0.3">
      <c r="B16" s="55"/>
      <c r="C16" s="61"/>
      <c r="D16" s="44"/>
      <c r="E16" s="44"/>
      <c r="F16" s="44"/>
      <c r="G16" s="44"/>
      <c r="H16" s="44"/>
      <c r="I16" s="45"/>
    </row>
    <row r="17" spans="2:9" ht="26.25" x14ac:dyDescent="0.3">
      <c r="B17" s="102" t="s">
        <v>54</v>
      </c>
      <c r="C17" s="90"/>
      <c r="D17" s="98" t="s">
        <v>73</v>
      </c>
      <c r="E17" s="98"/>
      <c r="F17" s="90" t="s">
        <v>74</v>
      </c>
      <c r="G17" s="90"/>
      <c r="H17" s="90" t="s">
        <v>76</v>
      </c>
      <c r="I17" s="106"/>
    </row>
    <row r="18" spans="2:9" x14ac:dyDescent="0.3">
      <c r="B18" s="55" t="str">
        <f>NMCT670!D23</f>
        <v>Range</v>
      </c>
      <c r="C18" s="44" t="str">
        <f>NMCT670!E23</f>
        <v>Number</v>
      </c>
      <c r="D18" s="44" t="str">
        <f>NMCT670!I23</f>
        <v>Mean_Femur Avg</v>
      </c>
      <c r="E18" s="44" t="str">
        <f>NMCT670!J23</f>
        <v>STD_Femur Avg</v>
      </c>
      <c r="F18" s="44" t="str">
        <f>NMCT670!M23</f>
        <v>Mean_Thigh Avg</v>
      </c>
      <c r="G18" s="44" t="str">
        <f>NMCT670!N23</f>
        <v>STD_Thigh Avg</v>
      </c>
      <c r="H18" s="44" t="str">
        <f>NMCT670!P23</f>
        <v>Mean_Ratio</v>
      </c>
      <c r="I18" s="45" t="str">
        <f>NMCT670!Q23</f>
        <v>STD_Ratio</v>
      </c>
    </row>
    <row r="19" spans="2:9" x14ac:dyDescent="0.3">
      <c r="B19" s="55" t="str">
        <f>NMCT670!D24</f>
        <v>~10s</v>
      </c>
      <c r="C19" s="61" t="e">
        <f>NMCT670!E24</f>
        <v>#REF!</v>
      </c>
      <c r="D19" s="44" t="e">
        <f>NMCT670!I24</f>
        <v>#REF!</v>
      </c>
      <c r="E19" s="44" t="e">
        <f>NMCT670!J24</f>
        <v>#REF!</v>
      </c>
      <c r="F19" s="44" t="e">
        <f>NMCT670!M24</f>
        <v>#REF!</v>
      </c>
      <c r="G19" s="44" t="e">
        <f>NMCT670!N24</f>
        <v>#REF!</v>
      </c>
      <c r="H19" s="44" t="e">
        <f>NMCT670!P24</f>
        <v>#REF!</v>
      </c>
      <c r="I19" s="45" t="e">
        <f>NMCT670!Q24</f>
        <v>#REF!</v>
      </c>
    </row>
    <row r="20" spans="2:9" x14ac:dyDescent="0.3">
      <c r="B20" s="55" t="str">
        <f>NMCT670!D25</f>
        <v>20s</v>
      </c>
      <c r="C20" s="61" t="e">
        <f>NMCT670!E25</f>
        <v>#REF!</v>
      </c>
      <c r="D20" s="44" t="e">
        <f>NMCT670!I25</f>
        <v>#REF!</v>
      </c>
      <c r="E20" s="44" t="e">
        <f>NMCT670!J25</f>
        <v>#REF!</v>
      </c>
      <c r="F20" s="44" t="e">
        <f>NMCT670!M25</f>
        <v>#REF!</v>
      </c>
      <c r="G20" s="44" t="e">
        <f>NMCT670!N25</f>
        <v>#REF!</v>
      </c>
      <c r="H20" s="44" t="e">
        <f>NMCT670!P25</f>
        <v>#REF!</v>
      </c>
      <c r="I20" s="45" t="e">
        <f>NMCT670!Q25</f>
        <v>#REF!</v>
      </c>
    </row>
    <row r="21" spans="2:9" x14ac:dyDescent="0.3">
      <c r="B21" s="55" t="str">
        <f>NMCT670!D26</f>
        <v>30s</v>
      </c>
      <c r="C21" s="61" t="e">
        <f>NMCT670!E26</f>
        <v>#REF!</v>
      </c>
      <c r="D21" s="44" t="e">
        <f>NMCT670!I26</f>
        <v>#REF!</v>
      </c>
      <c r="E21" s="44" t="e">
        <f>NMCT670!J26</f>
        <v>#REF!</v>
      </c>
      <c r="F21" s="44" t="e">
        <f>NMCT670!M26</f>
        <v>#REF!</v>
      </c>
      <c r="G21" s="44" t="e">
        <f>NMCT670!N26</f>
        <v>#REF!</v>
      </c>
      <c r="H21" s="44" t="e">
        <f>NMCT670!P26</f>
        <v>#REF!</v>
      </c>
      <c r="I21" s="45" t="e">
        <f>NMCT670!Q26</f>
        <v>#REF!</v>
      </c>
    </row>
    <row r="22" spans="2:9" x14ac:dyDescent="0.3">
      <c r="B22" s="55" t="str">
        <f>NMCT670!D27</f>
        <v>40s</v>
      </c>
      <c r="C22" s="61" t="e">
        <f>NMCT670!E27</f>
        <v>#REF!</v>
      </c>
      <c r="D22" s="44" t="e">
        <f>NMCT670!I27</f>
        <v>#REF!</v>
      </c>
      <c r="E22" s="44" t="e">
        <f>NMCT670!J27</f>
        <v>#REF!</v>
      </c>
      <c r="F22" s="44" t="e">
        <f>NMCT670!M27</f>
        <v>#REF!</v>
      </c>
      <c r="G22" s="44" t="e">
        <f>NMCT670!N27</f>
        <v>#REF!</v>
      </c>
      <c r="H22" s="44" t="e">
        <f>NMCT670!P27</f>
        <v>#REF!</v>
      </c>
      <c r="I22" s="45" t="e">
        <f>NMCT670!Q27</f>
        <v>#REF!</v>
      </c>
    </row>
    <row r="23" spans="2:9" x14ac:dyDescent="0.3">
      <c r="B23" s="55" t="str">
        <f>NMCT670!D28</f>
        <v>50s</v>
      </c>
      <c r="C23" s="61" t="e">
        <f>NMCT670!E28</f>
        <v>#REF!</v>
      </c>
      <c r="D23" s="44" t="e">
        <f>NMCT670!I28</f>
        <v>#REF!</v>
      </c>
      <c r="E23" s="44" t="e">
        <f>NMCT670!J28</f>
        <v>#REF!</v>
      </c>
      <c r="F23" s="44" t="e">
        <f>NMCT670!M28</f>
        <v>#REF!</v>
      </c>
      <c r="G23" s="44" t="e">
        <f>NMCT670!N28</f>
        <v>#REF!</v>
      </c>
      <c r="H23" s="44" t="e">
        <f>NMCT670!P28</f>
        <v>#REF!</v>
      </c>
      <c r="I23" s="45" t="e">
        <f>NMCT670!Q28</f>
        <v>#REF!</v>
      </c>
    </row>
    <row r="24" spans="2:9" x14ac:dyDescent="0.3">
      <c r="B24" s="55" t="str">
        <f>NMCT670!D29</f>
        <v>60s</v>
      </c>
      <c r="C24" s="61" t="e">
        <f>NMCT670!E29</f>
        <v>#REF!</v>
      </c>
      <c r="D24" s="44" t="e">
        <f>NMCT670!I29</f>
        <v>#REF!</v>
      </c>
      <c r="E24" s="44" t="e">
        <f>NMCT670!J29</f>
        <v>#REF!</v>
      </c>
      <c r="F24" s="44" t="e">
        <f>NMCT670!M29</f>
        <v>#REF!</v>
      </c>
      <c r="G24" s="44" t="e">
        <f>NMCT670!N29</f>
        <v>#REF!</v>
      </c>
      <c r="H24" s="44" t="e">
        <f>NMCT670!P29</f>
        <v>#REF!</v>
      </c>
      <c r="I24" s="45" t="e">
        <f>NMCT670!Q29</f>
        <v>#REF!</v>
      </c>
    </row>
    <row r="25" spans="2:9" x14ac:dyDescent="0.3">
      <c r="B25" s="55" t="str">
        <f>NMCT670!D30</f>
        <v>70s</v>
      </c>
      <c r="C25" s="61" t="e">
        <f>NMCT670!E30</f>
        <v>#REF!</v>
      </c>
      <c r="D25" s="44" t="e">
        <f>NMCT670!I30</f>
        <v>#REF!</v>
      </c>
      <c r="E25" s="44" t="e">
        <f>NMCT670!J30</f>
        <v>#REF!</v>
      </c>
      <c r="F25" s="44" t="e">
        <f>NMCT670!M30</f>
        <v>#REF!</v>
      </c>
      <c r="G25" s="44" t="e">
        <f>NMCT670!N30</f>
        <v>#REF!</v>
      </c>
      <c r="H25" s="44" t="e">
        <f>NMCT670!P30</f>
        <v>#REF!</v>
      </c>
      <c r="I25" s="45" t="e">
        <f>NMCT670!Q30</f>
        <v>#REF!</v>
      </c>
    </row>
    <row r="26" spans="2:9" x14ac:dyDescent="0.3">
      <c r="B26" s="55" t="str">
        <f>NMCT670!D31</f>
        <v>80s~</v>
      </c>
      <c r="C26" s="61" t="e">
        <f>NMCT670!E31</f>
        <v>#REF!</v>
      </c>
      <c r="D26" s="44" t="e">
        <f>NMCT670!I31</f>
        <v>#REF!</v>
      </c>
      <c r="E26" s="44" t="e">
        <f>NMCT670!J31</f>
        <v>#REF!</v>
      </c>
      <c r="F26" s="44" t="e">
        <f>NMCT670!M31</f>
        <v>#REF!</v>
      </c>
      <c r="G26" s="44" t="e">
        <f>NMCT670!N31</f>
        <v>#REF!</v>
      </c>
      <c r="H26" s="44" t="e">
        <f>NMCT670!P31</f>
        <v>#REF!</v>
      </c>
      <c r="I26" s="45" t="e">
        <f>NMCT670!Q31</f>
        <v>#REF!</v>
      </c>
    </row>
    <row r="27" spans="2:9" x14ac:dyDescent="0.3">
      <c r="B27" s="55" t="str">
        <f>NMCT670!D32</f>
        <v>total</v>
      </c>
      <c r="C27" s="61" t="e">
        <f>NMCT670!E32</f>
        <v>#REF!</v>
      </c>
      <c r="D27" s="44" t="e">
        <f>NMCT670!I32</f>
        <v>#REF!</v>
      </c>
      <c r="E27" s="44" t="e">
        <f>NMCT670!J32</f>
        <v>#REF!</v>
      </c>
      <c r="F27" s="44" t="e">
        <f>NMCT670!M32</f>
        <v>#REF!</v>
      </c>
      <c r="G27" s="44" t="e">
        <f>NMCT670!N32</f>
        <v>#REF!</v>
      </c>
      <c r="H27" s="44" t="e">
        <f>NMCT670!P32</f>
        <v>#REF!</v>
      </c>
      <c r="I27" s="45" t="e">
        <f>NMCT670!Q32</f>
        <v>#REF!</v>
      </c>
    </row>
    <row r="28" spans="2:9" x14ac:dyDescent="0.3">
      <c r="B28" s="55"/>
      <c r="C28" s="61"/>
      <c r="D28" s="44"/>
      <c r="E28" s="44"/>
      <c r="F28" s="44"/>
      <c r="G28" s="44"/>
      <c r="H28" s="44"/>
      <c r="I28" s="45"/>
    </row>
    <row r="29" spans="2:9" ht="26.25" x14ac:dyDescent="0.3">
      <c r="B29" s="102" t="s">
        <v>55</v>
      </c>
      <c r="C29" s="90"/>
      <c r="D29" s="98" t="s">
        <v>73</v>
      </c>
      <c r="E29" s="98"/>
      <c r="F29" s="90" t="s">
        <v>74</v>
      </c>
      <c r="G29" s="90"/>
      <c r="H29" s="90" t="s">
        <v>76</v>
      </c>
      <c r="I29" s="106"/>
    </row>
    <row r="30" spans="2:9" x14ac:dyDescent="0.3">
      <c r="B30" s="55" t="e">
        <f>#REF!</f>
        <v>#REF!</v>
      </c>
      <c r="C30" s="61" t="e">
        <f>#REF!</f>
        <v>#REF!</v>
      </c>
      <c r="D30" s="44" t="e">
        <f>#REF!</f>
        <v>#REF!</v>
      </c>
      <c r="E30" s="44" t="e">
        <f>#REF!</f>
        <v>#REF!</v>
      </c>
      <c r="F30" s="44" t="e">
        <f>#REF!</f>
        <v>#REF!</v>
      </c>
      <c r="G30" s="44" t="e">
        <f>#REF!</f>
        <v>#REF!</v>
      </c>
      <c r="H30" s="44" t="e">
        <f>#REF!</f>
        <v>#REF!</v>
      </c>
      <c r="I30" s="45" t="e">
        <f>#REF!</f>
        <v>#REF!</v>
      </c>
    </row>
    <row r="31" spans="2:9" x14ac:dyDescent="0.3">
      <c r="B31" s="55" t="e">
        <f>#REF!</f>
        <v>#REF!</v>
      </c>
      <c r="C31" s="61" t="e">
        <f>#REF!</f>
        <v>#REF!</v>
      </c>
      <c r="D31" s="44" t="e">
        <f>#REF!</f>
        <v>#REF!</v>
      </c>
      <c r="E31" s="44" t="e">
        <f>#REF!</f>
        <v>#REF!</v>
      </c>
      <c r="F31" s="44" t="e">
        <f>#REF!</f>
        <v>#REF!</v>
      </c>
      <c r="G31" s="44" t="e">
        <f>#REF!</f>
        <v>#REF!</v>
      </c>
      <c r="H31" s="44" t="e">
        <f>#REF!</f>
        <v>#REF!</v>
      </c>
      <c r="I31" s="45" t="e">
        <f>#REF!</f>
        <v>#REF!</v>
      </c>
    </row>
    <row r="32" spans="2:9" x14ac:dyDescent="0.3">
      <c r="B32" s="55" t="e">
        <f>#REF!</f>
        <v>#REF!</v>
      </c>
      <c r="C32" s="61" t="e">
        <f>#REF!</f>
        <v>#REF!</v>
      </c>
      <c r="D32" s="44" t="e">
        <f>#REF!</f>
        <v>#REF!</v>
      </c>
      <c r="E32" s="44" t="e">
        <f>#REF!</f>
        <v>#REF!</v>
      </c>
      <c r="F32" s="44" t="e">
        <f>#REF!</f>
        <v>#REF!</v>
      </c>
      <c r="G32" s="44" t="e">
        <f>#REF!</f>
        <v>#REF!</v>
      </c>
      <c r="H32" s="44" t="e">
        <f>#REF!</f>
        <v>#REF!</v>
      </c>
      <c r="I32" s="45" t="e">
        <f>#REF!</f>
        <v>#REF!</v>
      </c>
    </row>
    <row r="33" spans="2:9" x14ac:dyDescent="0.3">
      <c r="B33" s="55" t="e">
        <f>#REF!</f>
        <v>#REF!</v>
      </c>
      <c r="C33" s="61" t="e">
        <f>#REF!</f>
        <v>#REF!</v>
      </c>
      <c r="D33" s="44" t="e">
        <f>#REF!</f>
        <v>#REF!</v>
      </c>
      <c r="E33" s="44" t="e">
        <f>#REF!</f>
        <v>#REF!</v>
      </c>
      <c r="F33" s="44" t="e">
        <f>#REF!</f>
        <v>#REF!</v>
      </c>
      <c r="G33" s="44" t="e">
        <f>#REF!</f>
        <v>#REF!</v>
      </c>
      <c r="H33" s="44" t="e">
        <f>#REF!</f>
        <v>#REF!</v>
      </c>
      <c r="I33" s="45" t="e">
        <f>#REF!</f>
        <v>#REF!</v>
      </c>
    </row>
    <row r="34" spans="2:9" x14ac:dyDescent="0.3">
      <c r="B34" s="55" t="e">
        <f>#REF!</f>
        <v>#REF!</v>
      </c>
      <c r="C34" s="61" t="e">
        <f>#REF!</f>
        <v>#REF!</v>
      </c>
      <c r="D34" s="44" t="e">
        <f>#REF!</f>
        <v>#REF!</v>
      </c>
      <c r="E34" s="44" t="e">
        <f>#REF!</f>
        <v>#REF!</v>
      </c>
      <c r="F34" s="44" t="e">
        <f>#REF!</f>
        <v>#REF!</v>
      </c>
      <c r="G34" s="44" t="e">
        <f>#REF!</f>
        <v>#REF!</v>
      </c>
      <c r="H34" s="44" t="e">
        <f>#REF!</f>
        <v>#REF!</v>
      </c>
      <c r="I34" s="45" t="e">
        <f>#REF!</f>
        <v>#REF!</v>
      </c>
    </row>
    <row r="35" spans="2:9" x14ac:dyDescent="0.3">
      <c r="B35" s="55" t="e">
        <f>#REF!</f>
        <v>#REF!</v>
      </c>
      <c r="C35" s="61" t="e">
        <f>#REF!</f>
        <v>#REF!</v>
      </c>
      <c r="D35" s="44" t="e">
        <f>#REF!</f>
        <v>#REF!</v>
      </c>
      <c r="E35" s="44" t="e">
        <f>#REF!</f>
        <v>#REF!</v>
      </c>
      <c r="F35" s="44" t="e">
        <f>#REF!</f>
        <v>#REF!</v>
      </c>
      <c r="G35" s="44" t="e">
        <f>#REF!</f>
        <v>#REF!</v>
      </c>
      <c r="H35" s="44" t="e">
        <f>#REF!</f>
        <v>#REF!</v>
      </c>
      <c r="I35" s="45" t="e">
        <f>#REF!</f>
        <v>#REF!</v>
      </c>
    </row>
    <row r="36" spans="2:9" x14ac:dyDescent="0.3">
      <c r="B36" s="55" t="e">
        <f>#REF!</f>
        <v>#REF!</v>
      </c>
      <c r="C36" s="61" t="e">
        <f>#REF!</f>
        <v>#REF!</v>
      </c>
      <c r="D36" s="44" t="e">
        <f>#REF!</f>
        <v>#REF!</v>
      </c>
      <c r="E36" s="44" t="e">
        <f>#REF!</f>
        <v>#REF!</v>
      </c>
      <c r="F36" s="44" t="e">
        <f>#REF!</f>
        <v>#REF!</v>
      </c>
      <c r="G36" s="44" t="e">
        <f>#REF!</f>
        <v>#REF!</v>
      </c>
      <c r="H36" s="44" t="e">
        <f>#REF!</f>
        <v>#REF!</v>
      </c>
      <c r="I36" s="45" t="e">
        <f>#REF!</f>
        <v>#REF!</v>
      </c>
    </row>
    <row r="37" spans="2:9" x14ac:dyDescent="0.3">
      <c r="B37" s="55" t="e">
        <f>#REF!</f>
        <v>#REF!</v>
      </c>
      <c r="C37" s="61" t="e">
        <f>#REF!</f>
        <v>#REF!</v>
      </c>
      <c r="D37" s="44" t="e">
        <f>#REF!</f>
        <v>#REF!</v>
      </c>
      <c r="E37" s="44" t="e">
        <f>#REF!</f>
        <v>#REF!</v>
      </c>
      <c r="F37" s="44" t="e">
        <f>#REF!</f>
        <v>#REF!</v>
      </c>
      <c r="G37" s="44" t="e">
        <f>#REF!</f>
        <v>#REF!</v>
      </c>
      <c r="H37" s="44" t="e">
        <f>#REF!</f>
        <v>#REF!</v>
      </c>
      <c r="I37" s="45" t="e">
        <f>#REF!</f>
        <v>#REF!</v>
      </c>
    </row>
    <row r="38" spans="2:9" x14ac:dyDescent="0.3">
      <c r="B38" s="55" t="e">
        <f>#REF!</f>
        <v>#REF!</v>
      </c>
      <c r="C38" s="61" t="e">
        <f>#REF!</f>
        <v>#REF!</v>
      </c>
      <c r="D38" s="44" t="e">
        <f>#REF!</f>
        <v>#REF!</v>
      </c>
      <c r="E38" s="44" t="e">
        <f>#REF!</f>
        <v>#REF!</v>
      </c>
      <c r="F38" s="44" t="e">
        <f>#REF!</f>
        <v>#REF!</v>
      </c>
      <c r="G38" s="44" t="e">
        <f>#REF!</f>
        <v>#REF!</v>
      </c>
      <c r="H38" s="44" t="e">
        <f>#REF!</f>
        <v>#REF!</v>
      </c>
      <c r="I38" s="45" t="e">
        <f>#REF!</f>
        <v>#REF!</v>
      </c>
    </row>
    <row r="39" spans="2:9" x14ac:dyDescent="0.3">
      <c r="B39" s="55" t="e">
        <f>#REF!</f>
        <v>#REF!</v>
      </c>
      <c r="C39" s="61" t="e">
        <f>#REF!</f>
        <v>#REF!</v>
      </c>
      <c r="D39" s="44" t="e">
        <f>#REF!</f>
        <v>#REF!</v>
      </c>
      <c r="E39" s="44" t="e">
        <f>#REF!</f>
        <v>#REF!</v>
      </c>
      <c r="F39" s="44" t="e">
        <f>#REF!</f>
        <v>#REF!</v>
      </c>
      <c r="G39" s="44" t="e">
        <f>#REF!</f>
        <v>#REF!</v>
      </c>
      <c r="H39" s="44" t="e">
        <f>#REF!</f>
        <v>#REF!</v>
      </c>
      <c r="I39" s="45" t="e">
        <f>#REF!</f>
        <v>#REF!</v>
      </c>
    </row>
    <row r="40" spans="2:9" x14ac:dyDescent="0.3">
      <c r="B40" s="55"/>
      <c r="C40" s="61"/>
      <c r="D40" s="44"/>
      <c r="E40" s="44"/>
      <c r="F40" s="44"/>
      <c r="G40" s="44"/>
      <c r="H40" s="44"/>
      <c r="I40" s="45"/>
    </row>
    <row r="41" spans="2:9" ht="26.25" x14ac:dyDescent="0.3">
      <c r="B41" s="102" t="s">
        <v>72</v>
      </c>
      <c r="C41" s="90"/>
      <c r="D41" s="98" t="s">
        <v>73</v>
      </c>
      <c r="E41" s="105"/>
      <c r="F41" s="90" t="s">
        <v>74</v>
      </c>
      <c r="G41" s="90"/>
      <c r="H41" s="90" t="s">
        <v>76</v>
      </c>
      <c r="I41" s="106"/>
    </row>
    <row r="42" spans="2:9" x14ac:dyDescent="0.3">
      <c r="B42" s="62" t="e">
        <f>#REF!</f>
        <v>#REF!</v>
      </c>
      <c r="C42" s="61" t="e">
        <f>#REF!</f>
        <v>#REF!</v>
      </c>
      <c r="D42" s="44" t="e">
        <f>#REF!</f>
        <v>#REF!</v>
      </c>
      <c r="E42" s="44" t="e">
        <f>#REF!</f>
        <v>#REF!</v>
      </c>
      <c r="F42" s="44" t="e">
        <f>#REF!</f>
        <v>#REF!</v>
      </c>
      <c r="G42" s="44" t="e">
        <f>#REF!</f>
        <v>#REF!</v>
      </c>
      <c r="H42" s="44" t="e">
        <f>#REF!</f>
        <v>#REF!</v>
      </c>
      <c r="I42" s="45" t="e">
        <f>#REF!</f>
        <v>#REF!</v>
      </c>
    </row>
    <row r="43" spans="2:9" x14ac:dyDescent="0.3">
      <c r="B43" s="62" t="e">
        <f>#REF!</f>
        <v>#REF!</v>
      </c>
      <c r="C43" s="61" t="e">
        <f>#REF!</f>
        <v>#REF!</v>
      </c>
      <c r="D43" s="44" t="e">
        <f>#REF!</f>
        <v>#REF!</v>
      </c>
      <c r="E43" s="44" t="e">
        <f>#REF!</f>
        <v>#REF!</v>
      </c>
      <c r="F43" s="44" t="e">
        <f>#REF!</f>
        <v>#REF!</v>
      </c>
      <c r="G43" s="44" t="e">
        <f>#REF!</f>
        <v>#REF!</v>
      </c>
      <c r="H43" s="44" t="e">
        <f>#REF!</f>
        <v>#REF!</v>
      </c>
      <c r="I43" s="45" t="e">
        <f>#REF!</f>
        <v>#REF!</v>
      </c>
    </row>
    <row r="44" spans="2:9" x14ac:dyDescent="0.3">
      <c r="B44" s="62" t="e">
        <f>#REF!</f>
        <v>#REF!</v>
      </c>
      <c r="C44" s="61" t="e">
        <f>#REF!</f>
        <v>#REF!</v>
      </c>
      <c r="D44" s="44" t="e">
        <f>#REF!</f>
        <v>#REF!</v>
      </c>
      <c r="E44" s="44" t="e">
        <f>#REF!</f>
        <v>#REF!</v>
      </c>
      <c r="F44" s="44" t="e">
        <f>#REF!</f>
        <v>#REF!</v>
      </c>
      <c r="G44" s="44" t="e">
        <f>#REF!</f>
        <v>#REF!</v>
      </c>
      <c r="H44" s="44" t="e">
        <f>#REF!</f>
        <v>#REF!</v>
      </c>
      <c r="I44" s="45" t="e">
        <f>#REF!</f>
        <v>#REF!</v>
      </c>
    </row>
    <row r="45" spans="2:9" x14ac:dyDescent="0.3">
      <c r="B45" s="62" t="e">
        <f>#REF!</f>
        <v>#REF!</v>
      </c>
      <c r="C45" s="61" t="e">
        <f>#REF!</f>
        <v>#REF!</v>
      </c>
      <c r="D45" s="44" t="e">
        <f>#REF!</f>
        <v>#REF!</v>
      </c>
      <c r="E45" s="44" t="e">
        <f>#REF!</f>
        <v>#REF!</v>
      </c>
      <c r="F45" s="44" t="e">
        <f>#REF!</f>
        <v>#REF!</v>
      </c>
      <c r="G45" s="44" t="e">
        <f>#REF!</f>
        <v>#REF!</v>
      </c>
      <c r="H45" s="44" t="e">
        <f>#REF!</f>
        <v>#REF!</v>
      </c>
      <c r="I45" s="45" t="e">
        <f>#REF!</f>
        <v>#REF!</v>
      </c>
    </row>
    <row r="46" spans="2:9" x14ac:dyDescent="0.3">
      <c r="B46" s="62" t="e">
        <f>#REF!</f>
        <v>#REF!</v>
      </c>
      <c r="C46" s="61" t="e">
        <f>#REF!</f>
        <v>#REF!</v>
      </c>
      <c r="D46" s="44" t="e">
        <f>#REF!</f>
        <v>#REF!</v>
      </c>
      <c r="E46" s="44" t="e">
        <f>#REF!</f>
        <v>#REF!</v>
      </c>
      <c r="F46" s="44" t="e">
        <f>#REF!</f>
        <v>#REF!</v>
      </c>
      <c r="G46" s="44" t="e">
        <f>#REF!</f>
        <v>#REF!</v>
      </c>
      <c r="H46" s="44" t="e">
        <f>#REF!</f>
        <v>#REF!</v>
      </c>
      <c r="I46" s="45" t="e">
        <f>#REF!</f>
        <v>#REF!</v>
      </c>
    </row>
    <row r="47" spans="2:9" x14ac:dyDescent="0.3">
      <c r="B47" s="62" t="e">
        <f>#REF!</f>
        <v>#REF!</v>
      </c>
      <c r="C47" s="61" t="e">
        <f>#REF!</f>
        <v>#REF!</v>
      </c>
      <c r="D47" s="44" t="e">
        <f>#REF!</f>
        <v>#REF!</v>
      </c>
      <c r="E47" s="44" t="e">
        <f>#REF!</f>
        <v>#REF!</v>
      </c>
      <c r="F47" s="44" t="e">
        <f>#REF!</f>
        <v>#REF!</v>
      </c>
      <c r="G47" s="44" t="e">
        <f>#REF!</f>
        <v>#REF!</v>
      </c>
      <c r="H47" s="44" t="e">
        <f>#REF!</f>
        <v>#REF!</v>
      </c>
      <c r="I47" s="45" t="e">
        <f>#REF!</f>
        <v>#REF!</v>
      </c>
    </row>
    <row r="48" spans="2:9" x14ac:dyDescent="0.3">
      <c r="B48" s="62" t="e">
        <f>#REF!</f>
        <v>#REF!</v>
      </c>
      <c r="C48" s="61" t="e">
        <f>#REF!</f>
        <v>#REF!</v>
      </c>
      <c r="D48" s="44" t="e">
        <f>#REF!</f>
        <v>#REF!</v>
      </c>
      <c r="E48" s="44" t="e">
        <f>#REF!</f>
        <v>#REF!</v>
      </c>
      <c r="F48" s="44" t="e">
        <f>#REF!</f>
        <v>#REF!</v>
      </c>
      <c r="G48" s="44" t="e">
        <f>#REF!</f>
        <v>#REF!</v>
      </c>
      <c r="H48" s="44" t="e">
        <f>#REF!</f>
        <v>#REF!</v>
      </c>
      <c r="I48" s="45" t="e">
        <f>#REF!</f>
        <v>#REF!</v>
      </c>
    </row>
    <row r="49" spans="2:10" x14ac:dyDescent="0.3">
      <c r="B49" s="62" t="e">
        <f>#REF!</f>
        <v>#REF!</v>
      </c>
      <c r="C49" s="61" t="e">
        <f>#REF!</f>
        <v>#REF!</v>
      </c>
      <c r="D49" s="44" t="e">
        <f>#REF!</f>
        <v>#REF!</v>
      </c>
      <c r="E49" s="44" t="e">
        <f>#REF!</f>
        <v>#REF!</v>
      </c>
      <c r="F49" s="44" t="e">
        <f>#REF!</f>
        <v>#REF!</v>
      </c>
      <c r="G49" s="44" t="e">
        <f>#REF!</f>
        <v>#REF!</v>
      </c>
      <c r="H49" s="44" t="e">
        <f>#REF!</f>
        <v>#REF!</v>
      </c>
      <c r="I49" s="45" t="e">
        <f>#REF!</f>
        <v>#REF!</v>
      </c>
    </row>
    <row r="50" spans="2:10" x14ac:dyDescent="0.3">
      <c r="B50" s="62" t="e">
        <f>#REF!</f>
        <v>#REF!</v>
      </c>
      <c r="C50" s="61" t="e">
        <f>#REF!</f>
        <v>#REF!</v>
      </c>
      <c r="D50" s="44" t="e">
        <f>#REF!</f>
        <v>#REF!</v>
      </c>
      <c r="E50" s="44" t="e">
        <f>#REF!</f>
        <v>#REF!</v>
      </c>
      <c r="F50" s="44" t="e">
        <f>#REF!</f>
        <v>#REF!</v>
      </c>
      <c r="G50" s="44" t="e">
        <f>#REF!</f>
        <v>#REF!</v>
      </c>
      <c r="H50" s="44" t="e">
        <f>#REF!</f>
        <v>#REF!</v>
      </c>
      <c r="I50" s="45" t="e">
        <f>#REF!</f>
        <v>#REF!</v>
      </c>
    </row>
    <row r="51" spans="2:10" x14ac:dyDescent="0.3">
      <c r="B51" s="62" t="e">
        <f>#REF!</f>
        <v>#REF!</v>
      </c>
      <c r="C51" s="61" t="e">
        <f>#REF!</f>
        <v>#REF!</v>
      </c>
      <c r="D51" s="44" t="e">
        <f>#REF!</f>
        <v>#REF!</v>
      </c>
      <c r="E51" s="44" t="e">
        <f>#REF!</f>
        <v>#REF!</v>
      </c>
      <c r="F51" s="44" t="e">
        <f>#REF!</f>
        <v>#REF!</v>
      </c>
      <c r="G51" s="44" t="e">
        <f>#REF!</f>
        <v>#REF!</v>
      </c>
      <c r="H51" s="44" t="e">
        <f>#REF!</f>
        <v>#REF!</v>
      </c>
      <c r="I51" s="45" t="e">
        <f>#REF!</f>
        <v>#REF!</v>
      </c>
    </row>
    <row r="52" spans="2:10" ht="17.25" thickBot="1" x14ac:dyDescent="0.35">
      <c r="B52" s="63"/>
      <c r="C52" s="64"/>
      <c r="D52" s="57"/>
      <c r="E52" s="57"/>
      <c r="F52" s="57"/>
      <c r="G52" s="57"/>
      <c r="H52" s="57"/>
      <c r="I52" s="58"/>
    </row>
    <row r="53" spans="2:10" ht="17.25" thickBot="1" x14ac:dyDescent="0.35">
      <c r="B53" s="44"/>
      <c r="C53" s="61"/>
      <c r="D53" s="44"/>
      <c r="E53" s="44"/>
      <c r="F53" s="44"/>
      <c r="G53" s="44"/>
      <c r="H53" s="44"/>
      <c r="I53" s="44"/>
    </row>
    <row r="54" spans="2:10" ht="34.5" thickBot="1" x14ac:dyDescent="0.35">
      <c r="B54" s="95" t="s">
        <v>88</v>
      </c>
      <c r="C54" s="103"/>
      <c r="D54" s="103"/>
      <c r="E54" s="103"/>
      <c r="F54" s="103"/>
      <c r="G54" s="103"/>
      <c r="H54" s="103"/>
      <c r="I54" s="103"/>
      <c r="J54" s="104"/>
    </row>
    <row r="55" spans="2:10" ht="17.25" thickBot="1" x14ac:dyDescent="0.35"/>
    <row r="56" spans="2:10" x14ac:dyDescent="0.3">
      <c r="B56" s="43"/>
      <c r="C56" s="81" t="s">
        <v>51</v>
      </c>
      <c r="D56" s="81"/>
      <c r="E56" s="81" t="s">
        <v>53</v>
      </c>
      <c r="F56" s="81"/>
      <c r="G56" s="81" t="s">
        <v>52</v>
      </c>
      <c r="H56" s="81"/>
      <c r="I56" s="81" t="s">
        <v>72</v>
      </c>
      <c r="J56" s="85"/>
    </row>
    <row r="57" spans="2:10" x14ac:dyDescent="0.3">
      <c r="B57" s="54" t="s">
        <v>87</v>
      </c>
      <c r="C57" s="44" t="e">
        <f t="shared" ref="C57:C65" si="0">H6</f>
        <v>#REF!</v>
      </c>
      <c r="D57" s="44" t="e">
        <f t="shared" ref="D57:D65" si="1">I6</f>
        <v>#REF!</v>
      </c>
      <c r="E57" s="44" t="str">
        <f t="shared" ref="E57:E65" si="2">H18</f>
        <v>Mean_Ratio</v>
      </c>
      <c r="F57" s="44" t="str">
        <f t="shared" ref="F57:F65" si="3">I18</f>
        <v>STD_Ratio</v>
      </c>
      <c r="G57" s="44" t="e">
        <f t="shared" ref="G57:H65" si="4">H30</f>
        <v>#REF!</v>
      </c>
      <c r="H57" s="44" t="e">
        <f t="shared" si="4"/>
        <v>#REF!</v>
      </c>
      <c r="I57" s="44" t="e">
        <f t="shared" ref="I57:J65" si="5">H42</f>
        <v>#REF!</v>
      </c>
      <c r="J57" s="45" t="e">
        <f t="shared" si="5"/>
        <v>#REF!</v>
      </c>
    </row>
    <row r="58" spans="2:10" x14ac:dyDescent="0.3">
      <c r="B58" s="55" t="e">
        <f t="shared" ref="B58:B65" si="6">B7</f>
        <v>#REF!</v>
      </c>
      <c r="C58" s="44" t="e">
        <f t="shared" si="0"/>
        <v>#REF!</v>
      </c>
      <c r="D58" s="44" t="e">
        <f t="shared" si="1"/>
        <v>#REF!</v>
      </c>
      <c r="E58" s="44" t="e">
        <f t="shared" si="2"/>
        <v>#REF!</v>
      </c>
      <c r="F58" s="44" t="e">
        <f t="shared" si="3"/>
        <v>#REF!</v>
      </c>
      <c r="G58" s="44" t="e">
        <f t="shared" si="4"/>
        <v>#REF!</v>
      </c>
      <c r="H58" s="44" t="e">
        <f t="shared" si="4"/>
        <v>#REF!</v>
      </c>
      <c r="I58" s="44" t="e">
        <f t="shared" si="5"/>
        <v>#REF!</v>
      </c>
      <c r="J58" s="45" t="e">
        <f t="shared" si="5"/>
        <v>#REF!</v>
      </c>
    </row>
    <row r="59" spans="2:10" x14ac:dyDescent="0.3">
      <c r="B59" s="55" t="e">
        <f t="shared" si="6"/>
        <v>#REF!</v>
      </c>
      <c r="C59" s="44" t="e">
        <f t="shared" si="0"/>
        <v>#REF!</v>
      </c>
      <c r="D59" s="44" t="e">
        <f t="shared" si="1"/>
        <v>#REF!</v>
      </c>
      <c r="E59" s="44" t="e">
        <f t="shared" si="2"/>
        <v>#REF!</v>
      </c>
      <c r="F59" s="44" t="e">
        <f t="shared" si="3"/>
        <v>#REF!</v>
      </c>
      <c r="G59" s="44" t="e">
        <f t="shared" si="4"/>
        <v>#REF!</v>
      </c>
      <c r="H59" s="44" t="e">
        <f t="shared" si="4"/>
        <v>#REF!</v>
      </c>
      <c r="I59" s="44" t="e">
        <f t="shared" si="5"/>
        <v>#REF!</v>
      </c>
      <c r="J59" s="45" t="e">
        <f t="shared" si="5"/>
        <v>#REF!</v>
      </c>
    </row>
    <row r="60" spans="2:10" x14ac:dyDescent="0.3">
      <c r="B60" s="55" t="e">
        <f t="shared" si="6"/>
        <v>#REF!</v>
      </c>
      <c r="C60" s="44" t="e">
        <f t="shared" si="0"/>
        <v>#REF!</v>
      </c>
      <c r="D60" s="44" t="e">
        <f t="shared" si="1"/>
        <v>#REF!</v>
      </c>
      <c r="E60" s="44" t="e">
        <f t="shared" si="2"/>
        <v>#REF!</v>
      </c>
      <c r="F60" s="44" t="e">
        <f t="shared" si="3"/>
        <v>#REF!</v>
      </c>
      <c r="G60" s="44" t="e">
        <f t="shared" si="4"/>
        <v>#REF!</v>
      </c>
      <c r="H60" s="44" t="e">
        <f t="shared" si="4"/>
        <v>#REF!</v>
      </c>
      <c r="I60" s="44" t="e">
        <f t="shared" si="5"/>
        <v>#REF!</v>
      </c>
      <c r="J60" s="45" t="e">
        <f t="shared" si="5"/>
        <v>#REF!</v>
      </c>
    </row>
    <row r="61" spans="2:10" x14ac:dyDescent="0.3">
      <c r="B61" s="55" t="e">
        <f t="shared" si="6"/>
        <v>#REF!</v>
      </c>
      <c r="C61" s="44" t="e">
        <f t="shared" si="0"/>
        <v>#REF!</v>
      </c>
      <c r="D61" s="44" t="e">
        <f t="shared" si="1"/>
        <v>#REF!</v>
      </c>
      <c r="E61" s="44" t="e">
        <f t="shared" si="2"/>
        <v>#REF!</v>
      </c>
      <c r="F61" s="44" t="e">
        <f t="shared" si="3"/>
        <v>#REF!</v>
      </c>
      <c r="G61" s="44" t="e">
        <f t="shared" si="4"/>
        <v>#REF!</v>
      </c>
      <c r="H61" s="44" t="e">
        <f t="shared" si="4"/>
        <v>#REF!</v>
      </c>
      <c r="I61" s="44" t="e">
        <f t="shared" si="5"/>
        <v>#REF!</v>
      </c>
      <c r="J61" s="45" t="e">
        <f t="shared" si="5"/>
        <v>#REF!</v>
      </c>
    </row>
    <row r="62" spans="2:10" x14ac:dyDescent="0.3">
      <c r="B62" s="55" t="e">
        <f t="shared" si="6"/>
        <v>#REF!</v>
      </c>
      <c r="C62" s="44" t="e">
        <f t="shared" si="0"/>
        <v>#REF!</v>
      </c>
      <c r="D62" s="44" t="e">
        <f t="shared" si="1"/>
        <v>#REF!</v>
      </c>
      <c r="E62" s="44" t="e">
        <f t="shared" si="2"/>
        <v>#REF!</v>
      </c>
      <c r="F62" s="44" t="e">
        <f t="shared" si="3"/>
        <v>#REF!</v>
      </c>
      <c r="G62" s="44" t="e">
        <f t="shared" si="4"/>
        <v>#REF!</v>
      </c>
      <c r="H62" s="44" t="e">
        <f t="shared" si="4"/>
        <v>#REF!</v>
      </c>
      <c r="I62" s="44" t="e">
        <f t="shared" si="5"/>
        <v>#REF!</v>
      </c>
      <c r="J62" s="45" t="e">
        <f t="shared" si="5"/>
        <v>#REF!</v>
      </c>
    </row>
    <row r="63" spans="2:10" x14ac:dyDescent="0.3">
      <c r="B63" s="55" t="e">
        <f t="shared" si="6"/>
        <v>#REF!</v>
      </c>
      <c r="C63" s="44" t="e">
        <f t="shared" si="0"/>
        <v>#REF!</v>
      </c>
      <c r="D63" s="44" t="e">
        <f t="shared" si="1"/>
        <v>#REF!</v>
      </c>
      <c r="E63" s="44" t="e">
        <f t="shared" si="2"/>
        <v>#REF!</v>
      </c>
      <c r="F63" s="44" t="e">
        <f t="shared" si="3"/>
        <v>#REF!</v>
      </c>
      <c r="G63" s="44" t="e">
        <f t="shared" si="4"/>
        <v>#REF!</v>
      </c>
      <c r="H63" s="44" t="e">
        <f t="shared" si="4"/>
        <v>#REF!</v>
      </c>
      <c r="I63" s="44" t="e">
        <f t="shared" si="5"/>
        <v>#REF!</v>
      </c>
      <c r="J63" s="45" t="e">
        <f t="shared" si="5"/>
        <v>#REF!</v>
      </c>
    </row>
    <row r="64" spans="2:10" x14ac:dyDescent="0.3">
      <c r="B64" s="55" t="e">
        <f t="shared" si="6"/>
        <v>#REF!</v>
      </c>
      <c r="C64" s="44" t="e">
        <f t="shared" si="0"/>
        <v>#REF!</v>
      </c>
      <c r="D64" s="44" t="e">
        <f t="shared" si="1"/>
        <v>#REF!</v>
      </c>
      <c r="E64" s="44" t="e">
        <f t="shared" si="2"/>
        <v>#REF!</v>
      </c>
      <c r="F64" s="44" t="e">
        <f t="shared" si="3"/>
        <v>#REF!</v>
      </c>
      <c r="G64" s="44" t="e">
        <f t="shared" si="4"/>
        <v>#REF!</v>
      </c>
      <c r="H64" s="44" t="e">
        <f t="shared" si="4"/>
        <v>#REF!</v>
      </c>
      <c r="I64" s="44" t="e">
        <f t="shared" si="5"/>
        <v>#REF!</v>
      </c>
      <c r="J64" s="45" t="e">
        <f t="shared" si="5"/>
        <v>#REF!</v>
      </c>
    </row>
    <row r="65" spans="2:10" ht="17.25" thickBot="1" x14ac:dyDescent="0.35">
      <c r="B65" s="56" t="e">
        <f t="shared" si="6"/>
        <v>#REF!</v>
      </c>
      <c r="C65" s="57" t="e">
        <f t="shared" si="0"/>
        <v>#REF!</v>
      </c>
      <c r="D65" s="57" t="e">
        <f t="shared" si="1"/>
        <v>#REF!</v>
      </c>
      <c r="E65" s="57" t="e">
        <f t="shared" si="2"/>
        <v>#REF!</v>
      </c>
      <c r="F65" s="57" t="e">
        <f t="shared" si="3"/>
        <v>#REF!</v>
      </c>
      <c r="G65" s="57" t="e">
        <f t="shared" si="4"/>
        <v>#REF!</v>
      </c>
      <c r="H65" s="57" t="e">
        <f t="shared" si="4"/>
        <v>#REF!</v>
      </c>
      <c r="I65" s="57" t="e">
        <f t="shared" si="5"/>
        <v>#REF!</v>
      </c>
      <c r="J65" s="58" t="e">
        <f t="shared" si="5"/>
        <v>#REF!</v>
      </c>
    </row>
  </sheetData>
  <mergeCells count="22">
    <mergeCell ref="C56:D56"/>
    <mergeCell ref="E56:F56"/>
    <mergeCell ref="G56:H56"/>
    <mergeCell ref="I56:J56"/>
    <mergeCell ref="B5:C5"/>
    <mergeCell ref="B17:C17"/>
    <mergeCell ref="B29:C29"/>
    <mergeCell ref="B41:C41"/>
    <mergeCell ref="B54:J54"/>
    <mergeCell ref="D41:E41"/>
    <mergeCell ref="F17:G17"/>
    <mergeCell ref="H17:I17"/>
    <mergeCell ref="F29:G29"/>
    <mergeCell ref="H29:I29"/>
    <mergeCell ref="F41:G41"/>
    <mergeCell ref="H41:I41"/>
    <mergeCell ref="D29:E29"/>
    <mergeCell ref="B3:I3"/>
    <mergeCell ref="D5:E5"/>
    <mergeCell ref="D17:E17"/>
    <mergeCell ref="F5:G5"/>
    <mergeCell ref="H5:I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Infi</vt:lpstr>
      <vt:lpstr>NMCT670</vt:lpstr>
      <vt:lpstr>SYM</vt:lpstr>
      <vt:lpstr>NM830</vt:lpstr>
      <vt:lpstr>Comparing</vt:lpstr>
      <vt:lpstr>By 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 NM</dc:creator>
  <cp:lastModifiedBy>ajoumc</cp:lastModifiedBy>
  <dcterms:created xsi:type="dcterms:W3CDTF">2019-09-17T07:28:55Z</dcterms:created>
  <dcterms:modified xsi:type="dcterms:W3CDTF">2020-08-26T04:21:20Z</dcterms:modified>
</cp:coreProperties>
</file>